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an\Desktop\bursa-soft_GITHUB\client\"/>
    </mc:Choice>
  </mc:AlternateContent>
  <xr:revisionPtr revIDLastSave="0" documentId="10_ncr:100000_{14441DD6-C0C0-4CD0-B6A7-55A29C2CACAD}" xr6:coauthVersionLast="31" xr6:coauthVersionMax="37" xr10:uidLastSave="{00000000-0000-0000-0000-000000000000}"/>
  <bookViews>
    <workbookView xWindow="0" yWindow="0" windowWidth="21720" windowHeight="9660" xr2:uid="{211185B5-9C6E-4D80-98D6-395A83C6A586}"/>
  </bookViews>
  <sheets>
    <sheet name="INDYWIDUAL" sheetId="9" r:id="rId1"/>
    <sheet name="POKOJE" sheetId="8" r:id="rId2"/>
    <sheet name="ŁÓŻKO" sheetId="3" r:id="rId3"/>
    <sheet name="BIURKO" sheetId="4" r:id="rId4"/>
    <sheet name="SZAFA" sheetId="1" r:id="rId5"/>
    <sheet name="PÓŁKA" sheetId="2" r:id="rId6"/>
    <sheet name="PODŁOGA" sheetId="5" r:id="rId7"/>
    <sheet name="KOSZ" sheetId="6" r:id="rId8"/>
    <sheet name="PARAPET" sheetId="7" r:id="rId9"/>
  </sheets>
  <calcPr calcId="179017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G14" i="9" l="1"/>
  <c r="F35" i="9" l="1"/>
  <c r="G39" i="9"/>
  <c r="G19" i="9"/>
  <c r="E23" i="9"/>
  <c r="G38" i="9" l="1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B39" i="2"/>
  <c r="B38" i="2"/>
  <c r="B37" i="2"/>
  <c r="B36" i="2"/>
  <c r="B35" i="2"/>
  <c r="B39" i="1"/>
  <c r="B38" i="1"/>
  <c r="B37" i="1"/>
  <c r="B36" i="1"/>
  <c r="B35" i="1"/>
  <c r="B39" i="4"/>
  <c r="B38" i="4"/>
  <c r="B37" i="4"/>
  <c r="B36" i="4"/>
  <c r="B35" i="4"/>
  <c r="F39" i="9"/>
  <c r="E39" i="9"/>
  <c r="D39" i="9"/>
  <c r="C39" i="9"/>
  <c r="H39" i="9" s="1"/>
  <c r="F38" i="9"/>
  <c r="E38" i="9"/>
  <c r="D38" i="9"/>
  <c r="C38" i="9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A35" i="9"/>
  <c r="F36" i="9"/>
  <c r="E36" i="9"/>
  <c r="D36" i="9"/>
  <c r="C36" i="9"/>
  <c r="E35" i="9"/>
  <c r="D35" i="9"/>
  <c r="C35" i="9"/>
  <c r="A37" i="9"/>
  <c r="G22" i="9"/>
  <c r="G21" i="9"/>
  <c r="G20" i="9"/>
  <c r="AH39" i="4"/>
  <c r="G13" i="9"/>
  <c r="G12" i="9"/>
  <c r="G11" i="9"/>
  <c r="G6" i="9"/>
  <c r="G5" i="9"/>
  <c r="G4" i="9"/>
  <c r="F3" i="8"/>
  <c r="G3" i="8"/>
  <c r="H3" i="8"/>
  <c r="J3" i="8" s="1"/>
  <c r="F4" i="8"/>
  <c r="G4" i="8"/>
  <c r="H4" i="8"/>
  <c r="J4" i="8"/>
  <c r="F5" i="8"/>
  <c r="G5" i="8"/>
  <c r="H5" i="8"/>
  <c r="J5" i="8" s="1"/>
  <c r="G10" i="9" s="1"/>
  <c r="F6" i="8"/>
  <c r="G6" i="8"/>
  <c r="H6" i="8"/>
  <c r="J6" i="8"/>
  <c r="F7" i="8"/>
  <c r="G7" i="8"/>
  <c r="H7" i="8"/>
  <c r="J7" i="8" s="1"/>
  <c r="F8" i="8"/>
  <c r="G8" i="8"/>
  <c r="H8" i="8"/>
  <c r="J8" i="8"/>
  <c r="G16" i="9" s="1"/>
  <c r="F9" i="8"/>
  <c r="G9" i="8"/>
  <c r="H9" i="8"/>
  <c r="J9" i="8" s="1"/>
  <c r="F10" i="8"/>
  <c r="J10" i="8" s="1"/>
  <c r="G10" i="8"/>
  <c r="H10" i="8"/>
  <c r="F11" i="8"/>
  <c r="G11" i="8"/>
  <c r="H11" i="8"/>
  <c r="J11" i="8" s="1"/>
  <c r="F12" i="8"/>
  <c r="G12" i="8"/>
  <c r="H12" i="8"/>
  <c r="J12" i="8"/>
  <c r="F13" i="8"/>
  <c r="G13" i="8"/>
  <c r="H13" i="8"/>
  <c r="J13" i="8" s="1"/>
  <c r="F14" i="8"/>
  <c r="G14" i="8"/>
  <c r="H14" i="8"/>
  <c r="J14" i="8"/>
  <c r="F15" i="8"/>
  <c r="G15" i="8"/>
  <c r="H15" i="8"/>
  <c r="J15" i="8" s="1"/>
  <c r="F16" i="8"/>
  <c r="G16" i="8"/>
  <c r="H16" i="8"/>
  <c r="J16" i="8"/>
  <c r="F17" i="8"/>
  <c r="G17" i="8"/>
  <c r="H17" i="8"/>
  <c r="J17" i="8" s="1"/>
  <c r="G15" i="9" l="1"/>
  <c r="G17" i="9"/>
  <c r="G18" i="9"/>
  <c r="G8" i="9"/>
  <c r="G9" i="9"/>
  <c r="G7" i="9"/>
  <c r="H35" i="9"/>
  <c r="I35" i="9" s="1"/>
  <c r="H36" i="9"/>
  <c r="I36" i="9" s="1"/>
  <c r="H38" i="9"/>
  <c r="D1" i="7"/>
  <c r="D1" i="6"/>
  <c r="D1" i="5"/>
  <c r="B1" i="2"/>
  <c r="B1" i="1"/>
  <c r="AH13" i="4"/>
  <c r="AH14" i="4"/>
  <c r="AI13" i="4"/>
  <c r="B13" i="4"/>
  <c r="B14" i="4"/>
  <c r="B1" i="3"/>
  <c r="A1" i="8"/>
  <c r="AH37" i="4"/>
  <c r="D37" i="9"/>
  <c r="AH5" i="3"/>
  <c r="C5" i="9"/>
  <c r="AH5" i="4"/>
  <c r="D5" i="9"/>
  <c r="AH5" i="1"/>
  <c r="E5" i="9"/>
  <c r="AH5" i="2"/>
  <c r="F5" i="9"/>
  <c r="AG7" i="6"/>
  <c r="AG7" i="7"/>
  <c r="A3" i="9"/>
  <c r="AH39" i="1"/>
  <c r="AH38" i="1"/>
  <c r="AH37" i="1"/>
  <c r="AI37" i="1"/>
  <c r="AH36" i="1"/>
  <c r="AH35" i="1"/>
  <c r="AI35" i="1"/>
  <c r="AH34" i="1"/>
  <c r="B34" i="1"/>
  <c r="AH33" i="1"/>
  <c r="AI33" i="1"/>
  <c r="B33" i="1"/>
  <c r="AI34" i="1" s="1"/>
  <c r="AJ33" i="1" s="1"/>
  <c r="B31" i="1"/>
  <c r="B32" i="1"/>
  <c r="AI32" i="1" s="1"/>
  <c r="AJ31" i="1" s="1"/>
  <c r="D14" i="8" s="1"/>
  <c r="AH32" i="1"/>
  <c r="AH31" i="1"/>
  <c r="AI31" i="1"/>
  <c r="B29" i="1"/>
  <c r="AI30" i="1" s="1"/>
  <c r="AJ29" i="1" s="1"/>
  <c r="D13" i="8" s="1"/>
  <c r="B30" i="1"/>
  <c r="AH30" i="1"/>
  <c r="AH29" i="1"/>
  <c r="AI29" i="1"/>
  <c r="AH28" i="1"/>
  <c r="B28" i="1"/>
  <c r="B26" i="1"/>
  <c r="B27" i="1"/>
  <c r="AH27" i="1"/>
  <c r="AH26" i="1"/>
  <c r="AI26" i="1"/>
  <c r="AH25" i="1"/>
  <c r="AH23" i="1"/>
  <c r="AH24" i="1"/>
  <c r="AI23" i="1"/>
  <c r="B23" i="1"/>
  <c r="B24" i="1"/>
  <c r="B25" i="1"/>
  <c r="AH22" i="1"/>
  <c r="B22" i="1"/>
  <c r="AH21" i="1"/>
  <c r="B21" i="1"/>
  <c r="AH20" i="1"/>
  <c r="AI20" i="1"/>
  <c r="B20" i="1"/>
  <c r="AH19" i="1"/>
  <c r="B19" i="1"/>
  <c r="B17" i="1"/>
  <c r="B18" i="1"/>
  <c r="AH18" i="1"/>
  <c r="AH17" i="1"/>
  <c r="AI17" i="1"/>
  <c r="AH16" i="1"/>
  <c r="B16" i="1"/>
  <c r="AH15" i="1"/>
  <c r="AI15" i="1"/>
  <c r="B15" i="1"/>
  <c r="AH14" i="1"/>
  <c r="B14" i="1"/>
  <c r="AH13" i="1"/>
  <c r="AI13" i="1"/>
  <c r="B13" i="1"/>
  <c r="AH12" i="1"/>
  <c r="B12" i="1"/>
  <c r="AH11" i="1"/>
  <c r="AI11" i="1"/>
  <c r="B11" i="1"/>
  <c r="AH10" i="1"/>
  <c r="B10" i="1"/>
  <c r="AH9" i="1"/>
  <c r="B9" i="1"/>
  <c r="B7" i="1"/>
  <c r="AI8" i="1" s="1"/>
  <c r="AJ7" i="1" s="1"/>
  <c r="D5" i="8" s="1"/>
  <c r="B8" i="1"/>
  <c r="AH8" i="1"/>
  <c r="AH7" i="1"/>
  <c r="AI7" i="1"/>
  <c r="AH6" i="1"/>
  <c r="B6" i="1"/>
  <c r="AI5" i="1"/>
  <c r="B5" i="1"/>
  <c r="AH4" i="1"/>
  <c r="B4" i="1"/>
  <c r="AH3" i="1"/>
  <c r="AI3" i="1"/>
  <c r="B3" i="1"/>
  <c r="AH4" i="2"/>
  <c r="F4" i="9"/>
  <c r="AH33" i="3"/>
  <c r="C33" i="9"/>
  <c r="AG11" i="6"/>
  <c r="AG11" i="7"/>
  <c r="AG13" i="6"/>
  <c r="AG13" i="7"/>
  <c r="AG15" i="6"/>
  <c r="AG15" i="7"/>
  <c r="AG17" i="6"/>
  <c r="AG17" i="7"/>
  <c r="AG3" i="6"/>
  <c r="AG3" i="7"/>
  <c r="E4" i="9"/>
  <c r="E6" i="9"/>
  <c r="AH6" i="2"/>
  <c r="F6" i="9"/>
  <c r="E7" i="9"/>
  <c r="AH7" i="2"/>
  <c r="F7" i="9"/>
  <c r="E8" i="9"/>
  <c r="AH8" i="2"/>
  <c r="F8" i="9"/>
  <c r="E9" i="9"/>
  <c r="AH9" i="2"/>
  <c r="F9" i="9"/>
  <c r="E10" i="9"/>
  <c r="AH10" i="2"/>
  <c r="F10" i="9"/>
  <c r="E11" i="9"/>
  <c r="AH11" i="2"/>
  <c r="F11" i="9"/>
  <c r="E12" i="9"/>
  <c r="AH12" i="2"/>
  <c r="F12" i="9"/>
  <c r="E13" i="9"/>
  <c r="AH13" i="2"/>
  <c r="F13" i="9"/>
  <c r="E14" i="9"/>
  <c r="AH14" i="2"/>
  <c r="F14" i="9"/>
  <c r="E15" i="9"/>
  <c r="AH15" i="2"/>
  <c r="F15" i="9"/>
  <c r="E16" i="9"/>
  <c r="AH16" i="2"/>
  <c r="F16" i="9"/>
  <c r="E17" i="9"/>
  <c r="AH17" i="2"/>
  <c r="F17" i="9"/>
  <c r="E18" i="9"/>
  <c r="AH18" i="2"/>
  <c r="F18" i="9"/>
  <c r="E19" i="9"/>
  <c r="H19" i="9" s="1"/>
  <c r="I19" i="9" s="1"/>
  <c r="AH19" i="2"/>
  <c r="F19" i="9"/>
  <c r="E20" i="9"/>
  <c r="AH20" i="2"/>
  <c r="F20" i="9"/>
  <c r="E21" i="9"/>
  <c r="AH21" i="2"/>
  <c r="F21" i="9"/>
  <c r="E22" i="9"/>
  <c r="AH22" i="2"/>
  <c r="F22" i="9"/>
  <c r="H23" i="9"/>
  <c r="I23" i="9" s="1"/>
  <c r="AH23" i="2"/>
  <c r="F23" i="9"/>
  <c r="E24" i="9"/>
  <c r="AH24" i="2"/>
  <c r="F24" i="9"/>
  <c r="E25" i="9"/>
  <c r="AH25" i="2"/>
  <c r="F25" i="9"/>
  <c r="AH25" i="3"/>
  <c r="C25" i="9"/>
  <c r="AH25" i="4"/>
  <c r="D25" i="9"/>
  <c r="E26" i="9"/>
  <c r="AH26" i="2"/>
  <c r="F26" i="9"/>
  <c r="E27" i="9"/>
  <c r="AH27" i="2"/>
  <c r="F27" i="9"/>
  <c r="E28" i="9"/>
  <c r="AH28" i="2"/>
  <c r="F28" i="9"/>
  <c r="E29" i="9"/>
  <c r="AH29" i="2"/>
  <c r="F29" i="9"/>
  <c r="E30" i="9"/>
  <c r="AH30" i="2"/>
  <c r="F30" i="9"/>
  <c r="E31" i="9"/>
  <c r="AH31" i="2"/>
  <c r="F31" i="9"/>
  <c r="E32" i="9"/>
  <c r="AH32" i="3"/>
  <c r="C32" i="9"/>
  <c r="AH32" i="4"/>
  <c r="D32" i="9"/>
  <c r="AH32" i="2"/>
  <c r="F32" i="9"/>
  <c r="E33" i="9"/>
  <c r="AH33" i="2"/>
  <c r="F33" i="9"/>
  <c r="H33" i="9" s="1"/>
  <c r="E34" i="9"/>
  <c r="AH34" i="2"/>
  <c r="F34" i="9"/>
  <c r="AH35" i="2"/>
  <c r="AH36" i="2"/>
  <c r="E37" i="9"/>
  <c r="AH37" i="2"/>
  <c r="F37" i="9"/>
  <c r="AH38" i="2"/>
  <c r="I39" i="9"/>
  <c r="AH39" i="2"/>
  <c r="AG5" i="6"/>
  <c r="AG5" i="7"/>
  <c r="G3" i="9"/>
  <c r="AH3" i="2"/>
  <c r="F3" i="9"/>
  <c r="E3" i="9"/>
  <c r="AH4" i="4"/>
  <c r="D4" i="9"/>
  <c r="AH6" i="4"/>
  <c r="D6" i="9"/>
  <c r="AH7" i="4"/>
  <c r="D7" i="9"/>
  <c r="AH8" i="4"/>
  <c r="D8" i="9"/>
  <c r="AH9" i="4"/>
  <c r="D9" i="9"/>
  <c r="AH10" i="4"/>
  <c r="D10" i="9"/>
  <c r="AH11" i="4"/>
  <c r="D11" i="9"/>
  <c r="AH12" i="4"/>
  <c r="D12" i="9"/>
  <c r="D13" i="9"/>
  <c r="D14" i="9"/>
  <c r="AH15" i="4"/>
  <c r="D15" i="9"/>
  <c r="AH16" i="4"/>
  <c r="D16" i="9"/>
  <c r="AH17" i="4"/>
  <c r="D17" i="9"/>
  <c r="AH18" i="4"/>
  <c r="D18" i="9"/>
  <c r="AH19" i="4"/>
  <c r="D19" i="9"/>
  <c r="AH20" i="4"/>
  <c r="D20" i="9"/>
  <c r="AH21" i="4"/>
  <c r="D21" i="9"/>
  <c r="AH22" i="4"/>
  <c r="D22" i="9"/>
  <c r="AH23" i="4"/>
  <c r="D23" i="9"/>
  <c r="AH24" i="4"/>
  <c r="D24" i="9"/>
  <c r="AH26" i="4"/>
  <c r="D26" i="9"/>
  <c r="AH27" i="4"/>
  <c r="D27" i="9"/>
  <c r="AH28" i="4"/>
  <c r="D28" i="9"/>
  <c r="AH29" i="4"/>
  <c r="D29" i="9"/>
  <c r="AH30" i="4"/>
  <c r="D30" i="9"/>
  <c r="AH31" i="4"/>
  <c r="D31" i="9"/>
  <c r="AH33" i="4"/>
  <c r="D33" i="9"/>
  <c r="AH34" i="4"/>
  <c r="D34" i="9"/>
  <c r="AH34" i="3"/>
  <c r="C34" i="9"/>
  <c r="H34" i="9" s="1"/>
  <c r="I34" i="9" s="1"/>
  <c r="AH35" i="4"/>
  <c r="AH36" i="4"/>
  <c r="AH38" i="4"/>
  <c r="AH3" i="4"/>
  <c r="D3" i="9"/>
  <c r="AH4" i="3"/>
  <c r="C4" i="9"/>
  <c r="H4" i="9" s="1"/>
  <c r="I4" i="9" s="1"/>
  <c r="AH6" i="3"/>
  <c r="C6" i="9"/>
  <c r="H6" i="9" s="1"/>
  <c r="I6" i="9" s="1"/>
  <c r="AH7" i="3"/>
  <c r="C7" i="9"/>
  <c r="H7" i="9" s="1"/>
  <c r="I7" i="9" s="1"/>
  <c r="AH8" i="3"/>
  <c r="C8" i="9"/>
  <c r="H8" i="9" s="1"/>
  <c r="I8" i="9" s="1"/>
  <c r="AH9" i="3"/>
  <c r="C9" i="9"/>
  <c r="H9" i="9" s="1"/>
  <c r="I9" i="9" s="1"/>
  <c r="AH10" i="3"/>
  <c r="C10" i="9"/>
  <c r="H10" i="9" s="1"/>
  <c r="I10" i="9" s="1"/>
  <c r="AH11" i="3"/>
  <c r="C11" i="9"/>
  <c r="H11" i="9" s="1"/>
  <c r="I11" i="9" s="1"/>
  <c r="AH12" i="3"/>
  <c r="C12" i="9"/>
  <c r="H12" i="9" s="1"/>
  <c r="I12" i="9" s="1"/>
  <c r="AH13" i="3"/>
  <c r="C13" i="9"/>
  <c r="H13" i="9" s="1"/>
  <c r="I13" i="9" s="1"/>
  <c r="AH14" i="3"/>
  <c r="C14" i="9"/>
  <c r="H14" i="9" s="1"/>
  <c r="I14" i="9" s="1"/>
  <c r="AH15" i="3"/>
  <c r="C15" i="9" s="1"/>
  <c r="AH16" i="3"/>
  <c r="C16" i="9"/>
  <c r="H16" i="9" s="1"/>
  <c r="I16" i="9" s="1"/>
  <c r="AH17" i="3"/>
  <c r="C17" i="9"/>
  <c r="AH18" i="3"/>
  <c r="C18" i="9"/>
  <c r="AH19" i="3"/>
  <c r="C19" i="9"/>
  <c r="AH20" i="3"/>
  <c r="C20" i="9" s="1"/>
  <c r="H20" i="9" s="1"/>
  <c r="I20" i="9" s="1"/>
  <c r="AH21" i="3"/>
  <c r="C21" i="9"/>
  <c r="AH22" i="3"/>
  <c r="C22" i="9"/>
  <c r="AH23" i="3"/>
  <c r="C23" i="9"/>
  <c r="AH24" i="3"/>
  <c r="C24" i="9"/>
  <c r="H24" i="9" s="1"/>
  <c r="I24" i="9" s="1"/>
  <c r="AH26" i="3"/>
  <c r="C26" i="9"/>
  <c r="AH27" i="3"/>
  <c r="C27" i="9"/>
  <c r="H27" i="9" s="1"/>
  <c r="I27" i="9" s="1"/>
  <c r="AH28" i="3"/>
  <c r="C28" i="9"/>
  <c r="AH29" i="3"/>
  <c r="C29" i="9"/>
  <c r="H29" i="9" s="1"/>
  <c r="I29" i="9" s="1"/>
  <c r="AH30" i="3"/>
  <c r="C30" i="9"/>
  <c r="AH31" i="3"/>
  <c r="C31" i="9"/>
  <c r="H31" i="9" s="1"/>
  <c r="I31" i="9" s="1"/>
  <c r="AH35" i="3"/>
  <c r="AH36" i="3"/>
  <c r="AH37" i="3"/>
  <c r="C37" i="9"/>
  <c r="H37" i="9" s="1"/>
  <c r="I37" i="9" s="1"/>
  <c r="AH38" i="3"/>
  <c r="AH39" i="3"/>
  <c r="AH3" i="3"/>
  <c r="C3" i="9"/>
  <c r="A17" i="8"/>
  <c r="A16" i="8"/>
  <c r="A15" i="8"/>
  <c r="A33" i="9" s="1"/>
  <c r="A14" i="8"/>
  <c r="A31" i="9" s="1"/>
  <c r="A13" i="8"/>
  <c r="A29" i="9" s="1"/>
  <c r="A12" i="8"/>
  <c r="A26" i="9" s="1"/>
  <c r="A11" i="8"/>
  <c r="A23" i="9" s="1"/>
  <c r="A10" i="8"/>
  <c r="A20" i="9" s="1"/>
  <c r="A17" i="9"/>
  <c r="A8" i="8"/>
  <c r="A15" i="9"/>
  <c r="A13" i="9"/>
  <c r="A11" i="9"/>
  <c r="A7" i="9"/>
  <c r="A5" i="9"/>
  <c r="B3" i="3"/>
  <c r="AI4" i="3" s="1"/>
  <c r="AJ3" i="3" s="1"/>
  <c r="AI37" i="2"/>
  <c r="AI35" i="2"/>
  <c r="B34" i="2"/>
  <c r="AI34" i="2" s="1"/>
  <c r="AJ33" i="2" s="1"/>
  <c r="AI33" i="2"/>
  <c r="B33" i="2"/>
  <c r="B31" i="2"/>
  <c r="B32" i="2"/>
  <c r="AI32" i="2" s="1"/>
  <c r="AJ31" i="2" s="1"/>
  <c r="E14" i="8" s="1"/>
  <c r="AI31" i="2"/>
  <c r="B29" i="2"/>
  <c r="B30" i="2"/>
  <c r="AI29" i="2"/>
  <c r="B28" i="2"/>
  <c r="B26" i="2"/>
  <c r="B27" i="2"/>
  <c r="AI26" i="2"/>
  <c r="AI23" i="2"/>
  <c r="B25" i="2"/>
  <c r="B24" i="2"/>
  <c r="B23" i="2"/>
  <c r="B22" i="2"/>
  <c r="B21" i="2"/>
  <c r="AI20" i="2"/>
  <c r="B20" i="2"/>
  <c r="AI21" i="2" s="1"/>
  <c r="AJ20" i="2" s="1"/>
  <c r="E10" i="8" s="1"/>
  <c r="B19" i="2"/>
  <c r="B17" i="2"/>
  <c r="B18" i="2"/>
  <c r="AI17" i="2"/>
  <c r="B16" i="2"/>
  <c r="AI15" i="2"/>
  <c r="B15" i="2"/>
  <c r="B14" i="2"/>
  <c r="AI13" i="2"/>
  <c r="B13" i="2"/>
  <c r="B11" i="2"/>
  <c r="B12" i="2"/>
  <c r="AI11" i="2"/>
  <c r="B10" i="2"/>
  <c r="B7" i="2"/>
  <c r="B8" i="2"/>
  <c r="B9" i="2"/>
  <c r="AI7" i="2"/>
  <c r="B6" i="2"/>
  <c r="AI6" i="2" s="1"/>
  <c r="AJ5" i="2" s="1"/>
  <c r="E4" i="8" s="1"/>
  <c r="AI5" i="2"/>
  <c r="B5" i="2"/>
  <c r="B4" i="2"/>
  <c r="AI3" i="2"/>
  <c r="B3" i="2"/>
  <c r="AI37" i="4"/>
  <c r="AI35" i="4"/>
  <c r="B34" i="4"/>
  <c r="AI33" i="4"/>
  <c r="B33" i="4"/>
  <c r="B31" i="4"/>
  <c r="B32" i="4"/>
  <c r="AI31" i="4"/>
  <c r="B30" i="4"/>
  <c r="B29" i="4"/>
  <c r="AI29" i="4"/>
  <c r="B28" i="4"/>
  <c r="B26" i="4"/>
  <c r="B27" i="4"/>
  <c r="AI26" i="4"/>
  <c r="B25" i="4"/>
  <c r="B23" i="4"/>
  <c r="B24" i="4"/>
  <c r="AI23" i="4"/>
  <c r="B22" i="4"/>
  <c r="B21" i="4"/>
  <c r="AI20" i="4"/>
  <c r="B20" i="4"/>
  <c r="B19" i="4"/>
  <c r="B18" i="4"/>
  <c r="AI17" i="4"/>
  <c r="B17" i="4"/>
  <c r="B16" i="4"/>
  <c r="AI16" i="4" s="1"/>
  <c r="AJ15" i="4" s="1"/>
  <c r="C8" i="8" s="1"/>
  <c r="AI15" i="4"/>
  <c r="B15" i="4"/>
  <c r="B11" i="4"/>
  <c r="B12" i="4"/>
  <c r="AI11" i="4"/>
  <c r="B10" i="4"/>
  <c r="B9" i="4"/>
  <c r="B7" i="4"/>
  <c r="B8" i="4"/>
  <c r="AI7" i="4"/>
  <c r="B6" i="4"/>
  <c r="AI5" i="4"/>
  <c r="B5" i="4"/>
  <c r="B3" i="4"/>
  <c r="B4" i="4"/>
  <c r="AI3" i="4"/>
  <c r="AI11" i="3"/>
  <c r="AI17" i="3"/>
  <c r="AI26" i="3"/>
  <c r="AI35" i="3"/>
  <c r="AI3" i="3"/>
  <c r="AG3" i="5"/>
  <c r="AI36" i="3"/>
  <c r="AJ35" i="3" s="1"/>
  <c r="B16" i="8" s="1"/>
  <c r="AI34" i="3"/>
  <c r="AJ33" i="3" s="1"/>
  <c r="AI31" i="3"/>
  <c r="AI30" i="3"/>
  <c r="AJ29" i="3" s="1"/>
  <c r="B13" i="8" s="1"/>
  <c r="AI24" i="3"/>
  <c r="AJ23" i="3" s="1"/>
  <c r="B11" i="8" s="1"/>
  <c r="AI23" i="3"/>
  <c r="AI12" i="3"/>
  <c r="AJ11" i="3" s="1"/>
  <c r="B6" i="8" s="1"/>
  <c r="AI6" i="3"/>
  <c r="AJ5" i="3" s="1"/>
  <c r="B4" i="8" s="1"/>
  <c r="AI39" i="3"/>
  <c r="AJ37" i="3" s="1"/>
  <c r="B17" i="8" s="1"/>
  <c r="AG17" i="5"/>
  <c r="AG16" i="5"/>
  <c r="AG15" i="5"/>
  <c r="AG14" i="5"/>
  <c r="AG13" i="5"/>
  <c r="AG12" i="5"/>
  <c r="AG11" i="5"/>
  <c r="AG10" i="5"/>
  <c r="AG9" i="5"/>
  <c r="AG8" i="5"/>
  <c r="AG7" i="5"/>
  <c r="AG6" i="5"/>
  <c r="AG5" i="5"/>
  <c r="AG4" i="5"/>
  <c r="AG16" i="6"/>
  <c r="AG14" i="6"/>
  <c r="AG12" i="6"/>
  <c r="AG10" i="6"/>
  <c r="AG9" i="6"/>
  <c r="AG8" i="6"/>
  <c r="AG6" i="6"/>
  <c r="AG4" i="6"/>
  <c r="AI37" i="3"/>
  <c r="AI33" i="3"/>
  <c r="AI29" i="3"/>
  <c r="AI13" i="3"/>
  <c r="H22" i="9"/>
  <c r="I22" i="9" s="1"/>
  <c r="H30" i="9"/>
  <c r="I30" i="9" s="1"/>
  <c r="AG4" i="7"/>
  <c r="AG6" i="7"/>
  <c r="AG8" i="7"/>
  <c r="AG9" i="7"/>
  <c r="AG10" i="7"/>
  <c r="AG12" i="7"/>
  <c r="AG14" i="7"/>
  <c r="AG16" i="7"/>
  <c r="H28" i="9"/>
  <c r="I28" i="9" s="1"/>
  <c r="H18" i="9"/>
  <c r="I18" i="9" s="1"/>
  <c r="I38" i="9"/>
  <c r="AI7" i="3"/>
  <c r="AI5" i="3"/>
  <c r="AI16" i="3"/>
  <c r="AI27" i="4" l="1"/>
  <c r="AJ26" i="4" s="1"/>
  <c r="C12" i="8" s="1"/>
  <c r="AI27" i="2"/>
  <c r="AJ26" i="2" s="1"/>
  <c r="E12" i="8" s="1"/>
  <c r="AI24" i="1"/>
  <c r="AJ23" i="1" s="1"/>
  <c r="D11" i="8" s="1"/>
  <c r="AI18" i="2"/>
  <c r="AJ17" i="2" s="1"/>
  <c r="E9" i="8" s="1"/>
  <c r="AI16" i="2"/>
  <c r="AJ15" i="2" s="1"/>
  <c r="E8" i="8" s="1"/>
  <c r="AI14" i="1"/>
  <c r="AJ13" i="1" s="1"/>
  <c r="D7" i="8" s="1"/>
  <c r="AI14" i="4"/>
  <c r="AJ13" i="4" s="1"/>
  <c r="C7" i="8" s="1"/>
  <c r="AI14" i="2"/>
  <c r="AJ13" i="2" s="1"/>
  <c r="E7" i="8" s="1"/>
  <c r="AI12" i="2"/>
  <c r="AJ11" i="2" s="1"/>
  <c r="E6" i="8" s="1"/>
  <c r="AI8" i="2"/>
  <c r="AJ7" i="2" s="1"/>
  <c r="E5" i="8" s="1"/>
  <c r="H15" i="9"/>
  <c r="I15" i="9" s="1"/>
  <c r="AI4" i="1"/>
  <c r="AJ3" i="1" s="1"/>
  <c r="H5" i="9"/>
  <c r="I5" i="9" s="1"/>
  <c r="H21" i="9"/>
  <c r="I21" i="9" s="1"/>
  <c r="H25" i="9"/>
  <c r="I25" i="9" s="1"/>
  <c r="H17" i="9"/>
  <c r="I17" i="9" s="1"/>
  <c r="AI34" i="4"/>
  <c r="AJ33" i="4" s="1"/>
  <c r="H32" i="9"/>
  <c r="I32" i="9" s="1"/>
  <c r="H26" i="9"/>
  <c r="I26" i="9" s="1"/>
  <c r="AI12" i="1"/>
  <c r="AJ11" i="1" s="1"/>
  <c r="D6" i="8" s="1"/>
  <c r="AI27" i="1"/>
  <c r="AJ26" i="1" s="1"/>
  <c r="D12" i="8" s="1"/>
  <c r="AI20" i="3"/>
  <c r="AI15" i="3"/>
  <c r="AJ15" i="3"/>
  <c r="B8" i="8" s="1"/>
  <c r="AI32" i="3"/>
  <c r="AJ31" i="3" s="1"/>
  <c r="B14" i="8" s="1"/>
  <c r="AI4" i="4"/>
  <c r="AJ3" i="4" s="1"/>
  <c r="C3" i="8" s="1"/>
  <c r="AI6" i="4"/>
  <c r="AJ5" i="4" s="1"/>
  <c r="C4" i="8" s="1"/>
  <c r="AI12" i="4"/>
  <c r="AJ11" i="4" s="1"/>
  <c r="C6" i="8" s="1"/>
  <c r="I6" i="8" s="1"/>
  <c r="AI18" i="4"/>
  <c r="AJ17" i="4" s="1"/>
  <c r="C9" i="8" s="1"/>
  <c r="AI21" i="4"/>
  <c r="AJ20" i="4" s="1"/>
  <c r="C10" i="8" s="1"/>
  <c r="AI14" i="3"/>
  <c r="AJ13" i="3" s="1"/>
  <c r="B7" i="8" s="1"/>
  <c r="I7" i="8" s="1"/>
  <c r="AI18" i="3"/>
  <c r="AJ17" i="3" s="1"/>
  <c r="B9" i="8" s="1"/>
  <c r="AI27" i="3"/>
  <c r="AJ26" i="3" s="1"/>
  <c r="B12" i="8" s="1"/>
  <c r="AI30" i="4"/>
  <c r="AJ29" i="4" s="1"/>
  <c r="C13" i="8" s="1"/>
  <c r="I13" i="8" s="1"/>
  <c r="B3" i="8"/>
  <c r="B15" i="8"/>
  <c r="AI8" i="3"/>
  <c r="AJ7" i="3" s="1"/>
  <c r="B5" i="8" s="1"/>
  <c r="AI24" i="2"/>
  <c r="AJ23" i="2" s="1"/>
  <c r="E11" i="8" s="1"/>
  <c r="AI16" i="1"/>
  <c r="AJ15" i="1" s="1"/>
  <c r="D8" i="8" s="1"/>
  <c r="AI21" i="1"/>
  <c r="AJ20" i="1" s="1"/>
  <c r="D10" i="8" s="1"/>
  <c r="AI21" i="3"/>
  <c r="AJ20" i="3" s="1"/>
  <c r="B10" i="8" s="1"/>
  <c r="AI24" i="4"/>
  <c r="AJ23" i="4" s="1"/>
  <c r="C11" i="8" s="1"/>
  <c r="I11" i="8" s="1"/>
  <c r="AI32" i="4"/>
  <c r="AJ31" i="4" s="1"/>
  <c r="C14" i="8" s="1"/>
  <c r="AI4" i="2"/>
  <c r="AJ3" i="2" s="1"/>
  <c r="E3" i="8" s="1"/>
  <c r="AI30" i="2"/>
  <c r="AJ29" i="2" s="1"/>
  <c r="E13" i="8" s="1"/>
  <c r="AI39" i="4"/>
  <c r="AJ37" i="4" s="1"/>
  <c r="C17" i="8" s="1"/>
  <c r="AI39" i="2"/>
  <c r="AJ37" i="2" s="1"/>
  <c r="E17" i="8" s="1"/>
  <c r="H3" i="9"/>
  <c r="I3" i="9" s="1"/>
  <c r="AI6" i="1"/>
  <c r="AJ5" i="1" s="1"/>
  <c r="D4" i="8" s="1"/>
  <c r="I4" i="8" s="1"/>
  <c r="AI8" i="4"/>
  <c r="AJ7" i="4" s="1"/>
  <c r="C5" i="8" s="1"/>
  <c r="AI18" i="1"/>
  <c r="AJ17" i="1" s="1"/>
  <c r="D9" i="8" s="1"/>
  <c r="AI36" i="4"/>
  <c r="AJ35" i="4" s="1"/>
  <c r="C16" i="8" s="1"/>
  <c r="AI36" i="2"/>
  <c r="AJ35" i="2" s="1"/>
  <c r="E16" i="8" s="1"/>
  <c r="AI36" i="1"/>
  <c r="AJ35" i="1" s="1"/>
  <c r="D16" i="8" s="1"/>
  <c r="AI39" i="1"/>
  <c r="AJ37" i="1" s="1"/>
  <c r="D17" i="8" s="1"/>
  <c r="D15" i="8"/>
  <c r="D3" i="8"/>
  <c r="I33" i="9"/>
  <c r="I12" i="8" l="1"/>
  <c r="C15" i="8"/>
  <c r="E15" i="8"/>
  <c r="I10" i="8"/>
  <c r="I15" i="8"/>
  <c r="I8" i="8"/>
  <c r="I14" i="8"/>
  <c r="I9" i="8"/>
  <c r="I3" i="8"/>
  <c r="I5" i="8"/>
  <c r="I16" i="8"/>
  <c r="I17" i="8"/>
</calcChain>
</file>

<file path=xl/sharedStrings.xml><?xml version="1.0" encoding="utf-8"?>
<sst xmlns="http://schemas.openxmlformats.org/spreadsheetml/2006/main" count="89" uniqueCount="53">
  <si>
    <t>SZAFA</t>
  </si>
  <si>
    <t>POKÓJ</t>
  </si>
  <si>
    <t>Nazwisko Imię</t>
  </si>
  <si>
    <t>RAZEM</t>
  </si>
  <si>
    <t>pokój</t>
  </si>
  <si>
    <t>PÓŁKA</t>
  </si>
  <si>
    <t>ŁÓŻKO</t>
  </si>
  <si>
    <t>BIURKO</t>
  </si>
  <si>
    <t>PODŁOGA</t>
  </si>
  <si>
    <t>KOSZ</t>
  </si>
  <si>
    <t>PARAPET</t>
  </si>
  <si>
    <t>PUNKTACJA</t>
  </si>
  <si>
    <t>POKOJOWA</t>
  </si>
  <si>
    <t>SUMA POKÓJ</t>
  </si>
  <si>
    <t>Olborski Jakub</t>
  </si>
  <si>
    <t>Górka Szymon</t>
  </si>
  <si>
    <t>Orzełowski Wojciech</t>
  </si>
  <si>
    <t>Miesąc wystarczy zmienić w pliku 'INDYWIDUAL'</t>
  </si>
  <si>
    <t>wrzesień</t>
  </si>
  <si>
    <t>Aaron Miller</t>
  </si>
  <si>
    <t>Amanda Boyd</t>
  </si>
  <si>
    <t>Crystal Castillo</t>
  </si>
  <si>
    <t>Barbara McDonald</t>
  </si>
  <si>
    <t>Virginia Rivera</t>
  </si>
  <si>
    <t>Gustáv Šlahor</t>
  </si>
  <si>
    <t>Felipe Arroyo</t>
  </si>
  <si>
    <t>Flora Hodoș</t>
  </si>
  <si>
    <t>Felföldi Xaviér</t>
  </si>
  <si>
    <t>ნანი კობახიძე</t>
  </si>
  <si>
    <t>Horea Agârbiceanu</t>
  </si>
  <si>
    <t>Caius Câmpineanu</t>
  </si>
  <si>
    <t>Rüya Öcal</t>
  </si>
  <si>
    <t>Bhim Khan</t>
  </si>
  <si>
    <t>Διγενής Αλεβιζόπουλος</t>
  </si>
  <si>
    <t>Ιππόλυτος Αλεξανδρίδης</t>
  </si>
  <si>
    <t>Ambróz Šimko</t>
  </si>
  <si>
    <t>Caterina Almaș</t>
  </si>
  <si>
    <t>Davy Tom</t>
  </si>
  <si>
    <t>Chu Kim</t>
  </si>
  <si>
    <t>Arif Haque</t>
  </si>
  <si>
    <t>Viorela Stănculescu</t>
  </si>
  <si>
    <t>Jean Muscă</t>
  </si>
  <si>
    <t>Ηλιόδωρος Αντωνόπουλος</t>
  </si>
  <si>
    <t>Isidro Santos</t>
  </si>
  <si>
    <t>Male from Mexico</t>
  </si>
  <si>
    <t>Lana Begović</t>
  </si>
  <si>
    <t>Patai Ágnes</t>
  </si>
  <si>
    <t>Samikshya Duwadi</t>
  </si>
  <si>
    <t>Salinda Lungeli</t>
  </si>
  <si>
    <t>Paulina Florianu</t>
  </si>
  <si>
    <t>Dani Erika</t>
  </si>
  <si>
    <t>Jeremy West</t>
  </si>
  <si>
    <t>Dragoș Magheru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</si>
</sst>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3">
    <font>
      <sz val="11"/>
      <color rgb="FF000000"/>
      <name val="Czcionka tekstu podstawowego"/>
      <family val="2"/>
      <charset val="238"/>
    </font>
    <font>
      <b/>
      <sz val="16"/>
      <color rgb="FFFF0000"/>
      <name val="Czcionka tekstu podstawowego"/>
      <charset val="238"/>
    </font>
    <font>
      <b/>
      <sz val="9"/>
      <color rgb="FF000000"/>
      <name val="Czcionka tekstu podstawowego"/>
      <charset val="238"/>
    </font>
    <font>
      <b/>
      <sz val="11"/>
      <color rgb="FF000000"/>
      <name val="Czcionka tekstu podstawowego"/>
      <charset val="238"/>
    </font>
    <font>
      <sz val="11"/>
      <color rgb="FFFF0000"/>
      <name val="Czcionka tekstu podstawowego"/>
      <family val="2"/>
      <charset val="238"/>
    </font>
    <font>
      <b/>
      <sz val="11"/>
      <color rgb="FF376092"/>
      <name val="Czcionka tekstu podstawowego"/>
      <charset val="238"/>
    </font>
    <font>
      <b/>
      <i/>
      <sz val="11"/>
      <color rgb="FF0070C0"/>
      <name val="Czcionka tekstu podstawowego"/>
      <charset val="238"/>
    </font>
    <font>
      <b/>
      <sz val="12"/>
      <color rgb="FF002060"/>
      <name val="Czcionka tekstu podstawowego"/>
      <charset val="238"/>
    </font>
    <font>
      <b/>
      <sz val="12"/>
      <color rgb="FF000000"/>
      <name val="Arial"/>
      <family val="2"/>
      <charset val="238"/>
    </font>
    <font>
      <sz val="10"/>
      <color rgb="FF000000"/>
      <name val="Czcionka tekstu podstawowego"/>
      <family val="2"/>
      <charset val="238"/>
    </font>
    <font>
      <sz val="11"/>
      <color rgb="FF9C6500"/>
      <name val="Calibri"/>
      <family val="2"/>
      <charset val="238"/>
    </font>
    <font>
      <sz val="11"/>
      <color rgb="FF000000"/>
      <name val="Calibri"/>
      <family val="2"/>
      <charset val="238"/>
    </font>
    <font>
      <b/>
      <sz val="16"/>
      <color rgb="FF006600"/>
      <name val="Czcionka tekstu podstawowego"/>
      <charset val="238"/>
    </font>
    <font>
      <b/>
      <i/>
      <sz val="14"/>
      <color rgb="FF002060"/>
      <name val="Czcionka tekstu podstawowego"/>
      <charset val="238"/>
    </font>
    <font>
      <b/>
      <sz val="12"/>
      <color rgb="FF000000"/>
      <name val="Czcionka tekstu podstawowego"/>
      <charset val="1"/>
    </font>
    <font>
      <b/>
      <sz val="14"/>
      <color rgb="FF002060"/>
      <name val="Czcionka tekstu podstawowego"/>
      <charset val="238"/>
    </font>
    <font>
      <b/>
      <sz val="16"/>
      <color rgb="FF4F6228"/>
      <name val="Czcionka tekstu podstawowego"/>
      <charset val="1"/>
    </font>
    <font>
      <b/>
      <sz val="16"/>
      <color rgb="FF4F6228"/>
      <name val="Czcionka tekstu podstawowego"/>
      <charset val="238"/>
    </font>
    <font>
      <b/>
      <sz val="14"/>
      <color rgb="FFFF0000"/>
      <name val="Czcionka tekstu podstawowego"/>
      <charset val="238"/>
    </font>
    <font>
      <b/>
      <sz val="16"/>
      <color rgb="FFFFFF00"/>
      <name val="Czcionka tekstu podstawowego"/>
      <charset val="238"/>
    </font>
    <font>
      <b/>
      <sz val="12"/>
      <color rgb="FFFFFFFF"/>
      <name val="Czcionka tekstu podstawowego"/>
      <charset val="238"/>
    </font>
    <font>
      <b/>
      <sz val="12"/>
      <color rgb="FFFFFFFF"/>
      <name val="Arial"/>
      <family val="2"/>
      <charset val="238"/>
    </font>
    <font>
      <sz val="12"/>
      <color rgb="FFFFFFFF"/>
      <name val="Czcionka tekstu podstawowego"/>
      <family val="2"/>
      <charset val="238"/>
    </font>
    <font>
      <b/>
      <sz val="16"/>
      <color rgb="FFFFFFFF"/>
      <name val="Czcionka tekstu podstawowego"/>
      <charset val="238"/>
    </font>
    <font>
      <b/>
      <sz val="12"/>
      <color rgb="FF000000"/>
      <name val="Czcionka tekstu podstawowego"/>
      <charset val="238"/>
    </font>
    <font>
      <sz val="12"/>
      <color rgb="FF000000"/>
      <name val="Czcionka tekstu podstawowego"/>
      <family val="2"/>
      <charset val="238"/>
    </font>
    <font>
      <b/>
      <sz val="16"/>
      <color rgb="FF000000"/>
      <name val="Czcionka tekstu podstawowego"/>
      <charset val="238"/>
    </font>
    <font>
      <b/>
      <sz val="8"/>
      <color rgb="FF000000"/>
      <name val="Arial"/>
      <family val="2"/>
      <charset val="238"/>
    </font>
    <font>
      <b/>
      <sz val="12"/>
      <color theme="1"/>
      <name val="Czcionka tekstu podstawowego"/>
      <charset val="238"/>
    </font>
    <font>
      <b/>
      <sz val="10"/>
      <color theme="1"/>
      <name val="Czcionka tekstu podstawowego"/>
      <charset val="238"/>
    </font>
    <font>
      <sz val="10"/>
      <color rgb="FF92D050"/>
      <name val="Czcionka tekstu podstawowego"/>
      <family val="2"/>
      <charset val="238"/>
    </font>
    <font>
      <b/>
      <sz val="12"/>
      <name val="Czcionka tekstu podstawowego"/>
      <charset val="238"/>
    </font>
    <font>
      <b/>
      <sz val="12"/>
      <color rgb="FF000000"/>
      <name val="Arial"/>
      <family val="2"/>
    </font>
  </fonts>
  <fills count="29">
    <fill>
      <patternFill patternType="none"/>
    </fill>
    <fill>
      <patternFill patternType="gray125"/>
    </fill>
    <fill>
      <patternFill patternType="solid">
        <fgColor rgb="FFFFEB9C"/>
        <bgColor rgb="FFF4DA90"/>
      </patternFill>
    </fill>
    <fill>
      <patternFill patternType="solid">
        <fgColor rgb="FFC6D9F1"/>
        <bgColor rgb="FFB7DEE8"/>
      </patternFill>
    </fill>
    <fill>
      <patternFill patternType="solid">
        <fgColor rgb="FFF9FDBF"/>
        <bgColor rgb="FFFFEB9C"/>
      </patternFill>
    </fill>
    <fill>
      <patternFill patternType="solid">
        <fgColor rgb="FFFFCC00"/>
        <bgColor rgb="FFFFC000"/>
      </patternFill>
    </fill>
    <fill>
      <patternFill patternType="solid">
        <fgColor rgb="FFCCFF99"/>
        <bgColor rgb="FFF9FDBF"/>
      </patternFill>
    </fill>
    <fill>
      <patternFill patternType="solid">
        <fgColor rgb="FF00CC99"/>
        <bgColor rgb="FF00B050"/>
      </patternFill>
    </fill>
    <fill>
      <patternFill patternType="solid">
        <fgColor rgb="FF99CC00"/>
        <bgColor rgb="FF92D050"/>
      </patternFill>
    </fill>
    <fill>
      <patternFill patternType="solid">
        <fgColor rgb="FFFFFF00"/>
        <bgColor rgb="FFFFCC00"/>
      </patternFill>
    </fill>
    <fill>
      <patternFill patternType="solid">
        <fgColor rgb="FFE6B9B8"/>
        <bgColor rgb="FFF4DA90"/>
      </patternFill>
    </fill>
    <fill>
      <patternFill patternType="solid">
        <fgColor rgb="FFB7DEE8"/>
        <bgColor rgb="FFC6D9F1"/>
      </patternFill>
    </fill>
    <fill>
      <patternFill patternType="solid">
        <fgColor rgb="FF92D050"/>
        <bgColor rgb="FF9BBB59"/>
      </patternFill>
    </fill>
    <fill>
      <patternFill patternType="solid">
        <fgColor rgb="FF558ED5"/>
        <bgColor rgb="FF4F81BD"/>
      </patternFill>
    </fill>
    <fill>
      <patternFill patternType="solid">
        <fgColor rgb="FF93CDDD"/>
        <bgColor rgb="FFB7DEE8"/>
      </patternFill>
    </fill>
    <fill>
      <patternFill patternType="solid">
        <fgColor rgb="FFF4DA90"/>
        <bgColor rgb="FFFFEB9C"/>
      </patternFill>
    </fill>
    <fill>
      <patternFill patternType="solid">
        <fgColor rgb="FFCC99FF"/>
        <bgColor rgb="FFB3A2C7"/>
      </patternFill>
    </fill>
    <fill>
      <patternFill patternType="solid">
        <fgColor rgb="FFB3A2C7"/>
        <bgColor rgb="FF93A9CE"/>
      </patternFill>
    </fill>
    <fill>
      <patternFill patternType="solid">
        <fgColor rgb="FFFFC000"/>
        <bgColor rgb="FFFFCC00"/>
      </patternFill>
    </fill>
    <fill>
      <patternFill patternType="solid">
        <fgColor rgb="FFFFFFFF"/>
        <bgColor rgb="FFF9FDBF"/>
      </patternFill>
    </fill>
    <fill>
      <patternFill patternType="solid">
        <fgColor rgb="FF948A54"/>
        <bgColor rgb="FF878787"/>
      </patternFill>
    </fill>
    <fill>
      <patternFill patternType="solid">
        <fgColor theme="4" tint="-0.249977111117893"/>
        <bgColor rgb="FF003300"/>
      </patternFill>
    </fill>
    <fill>
      <patternFill patternType="solid">
        <fgColor rgb="FF92D050"/>
        <bgColor rgb="FFB7DEE8"/>
      </patternFill>
    </fill>
    <fill>
      <patternFill patternType="solid">
        <fgColor rgb="FFFFFF00"/>
        <bgColor rgb="FFB7DEE8"/>
      </patternFill>
    </fill>
    <fill>
      <patternFill patternType="solid">
        <fgColor rgb="FF00CC99"/>
        <bgColor rgb="FFB7DEE8"/>
      </patternFill>
    </fill>
    <fill>
      <patternFill patternType="solid">
        <fgColor rgb="FFE6B9B8"/>
        <bgColor rgb="FFB7DEE8"/>
      </patternFill>
    </fill>
    <fill>
      <patternFill patternType="solid">
        <fgColor rgb="FFFFC000"/>
        <bgColor rgb="FFB7DEE8"/>
      </patternFill>
    </fill>
    <fill>
      <patternFill patternType="solid">
        <fgColor theme="3" tint="0.39997558519241921"/>
        <bgColor rgb="FFB7DEE8"/>
      </patternFill>
    </fill>
    <fill>
      <patternFill patternType="solid">
        <fgColor rgb="FFB7DEE8"/>
        <bgColor rgb="FFB7DEE8"/>
      </patternFill>
    </fill>
  </fills>
  <borders count="9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 style="thin">
        <color auto="1"/>
      </top>
      <bottom/>
      <diagonal/>
    </border>
    <border>
      <left/>
      <right style="thin">
        <color rgb="FFFFFFFF"/>
      </right>
      <top/>
      <bottom style="thin">
        <color auto="1"/>
      </bottom>
      <diagonal/>
    </border>
  </borders>
  <cellStyleXfs count="2">
    <xf numFmtId="0" fontId="0" fillId="0" borderId="0"/>
    <xf numFmtId="0" fontId="10" fillId="2" borderId="0" applyBorder="0" applyProtection="0"/>
  </cellStyleXfs>
  <cellXfs count="143">
    <xf numFmtId="0" fontId="0" fillId="0" borderId="0" xfId="0"/>
    <xf numFmtId="0" fontId="0" fillId="0" borderId="0" xfId="0" applyProtection="1"/>
    <xf numFmtId="0" fontId="1" fillId="3" borderId="0" xfId="0" applyFont="1" applyFill="1" applyAlignment="1" applyProtection="1">
      <alignment horizontal="center"/>
    </xf>
    <xf numFmtId="0" fontId="2" fillId="4" borderId="2" xfId="0" applyFont="1" applyFill="1" applyBorder="1" applyAlignment="1" applyProtection="1">
      <alignment horizontal="center" vertical="center"/>
    </xf>
    <xf numFmtId="0" fontId="3" fillId="4" borderId="2" xfId="0" applyFont="1" applyFill="1" applyBorder="1" applyAlignment="1" applyProtection="1">
      <alignment horizontal="center" vertical="center"/>
    </xf>
    <xf numFmtId="0" fontId="4" fillId="3" borderId="2" xfId="0" applyFont="1" applyFill="1" applyBorder="1" applyAlignment="1" applyProtection="1">
      <alignment horizontal="center" vertical="center"/>
    </xf>
    <xf numFmtId="0" fontId="5" fillId="4" borderId="2" xfId="0" applyFont="1" applyFill="1" applyBorder="1" applyAlignment="1" applyProtection="1">
      <alignment horizontal="center" vertical="center"/>
    </xf>
    <xf numFmtId="0" fontId="6" fillId="0" borderId="0" xfId="0" applyFont="1" applyAlignment="1" applyProtection="1">
      <alignment horizontal="center" vertical="center"/>
    </xf>
    <xf numFmtId="0" fontId="9" fillId="5" borderId="2" xfId="0" applyFont="1" applyFill="1" applyBorder="1" applyAlignment="1" applyProtection="1">
      <alignment horizontal="center" vertical="center"/>
      <protection locked="0"/>
    </xf>
    <xf numFmtId="0" fontId="11" fillId="5" borderId="2" xfId="1" applyFont="1" applyFill="1" applyBorder="1" applyAlignment="1" applyProtection="1">
      <alignment horizontal="center" vertical="center"/>
      <protection locked="0"/>
    </xf>
    <xf numFmtId="0" fontId="12" fillId="5" borderId="2" xfId="0" applyFont="1" applyFill="1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13" fillId="6" borderId="0" xfId="0" applyFont="1" applyFill="1" applyAlignment="1" applyProtection="1">
      <alignment horizontal="center" vertical="center"/>
    </xf>
    <xf numFmtId="0" fontId="13" fillId="0" borderId="0" xfId="0" applyFont="1" applyAlignment="1" applyProtection="1">
      <alignment horizontal="center" vertical="center"/>
    </xf>
    <xf numFmtId="0" fontId="9" fillId="7" borderId="2" xfId="0" applyFont="1" applyFill="1" applyBorder="1" applyAlignment="1" applyProtection="1">
      <alignment horizontal="center" vertical="center"/>
      <protection locked="0"/>
    </xf>
    <xf numFmtId="0" fontId="9" fillId="8" borderId="2" xfId="0" applyFont="1" applyFill="1" applyBorder="1" applyAlignment="1" applyProtection="1">
      <alignment horizontal="center" vertical="center"/>
      <protection locked="0"/>
    </xf>
    <xf numFmtId="0" fontId="9" fillId="9" borderId="2" xfId="0" applyFont="1" applyFill="1" applyBorder="1" applyAlignment="1" applyProtection="1">
      <alignment horizontal="center" vertical="center"/>
      <protection locked="0"/>
    </xf>
    <xf numFmtId="0" fontId="9" fillId="10" borderId="2" xfId="0" applyFont="1" applyFill="1" applyBorder="1" applyAlignment="1" applyProtection="1">
      <alignment horizontal="center" vertical="center"/>
      <protection locked="0"/>
    </xf>
    <xf numFmtId="0" fontId="9" fillId="11" borderId="2" xfId="0" applyFont="1" applyFill="1" applyBorder="1" applyAlignment="1" applyProtection="1">
      <alignment horizontal="center" vertical="center"/>
      <protection locked="0"/>
    </xf>
    <xf numFmtId="0" fontId="9" fillId="12" borderId="2" xfId="0" applyFont="1" applyFill="1" applyBorder="1" applyAlignment="1" applyProtection="1">
      <alignment horizontal="center" vertical="center"/>
      <protection locked="0"/>
    </xf>
    <xf numFmtId="0" fontId="9" fillId="13" borderId="2" xfId="0" applyFont="1" applyFill="1" applyBorder="1" applyAlignment="1" applyProtection="1">
      <alignment horizontal="center" vertical="center"/>
      <protection locked="0"/>
    </xf>
    <xf numFmtId="0" fontId="13" fillId="0" borderId="0" xfId="0" applyFont="1" applyBorder="1" applyAlignment="1" applyProtection="1">
      <alignment horizontal="center" vertical="center"/>
    </xf>
    <xf numFmtId="0" fontId="8" fillId="14" borderId="2" xfId="0" applyFont="1" applyFill="1" applyBorder="1" applyAlignment="1">
      <alignment horizontal="left"/>
    </xf>
    <xf numFmtId="0" fontId="9" fillId="14" borderId="3" xfId="0" applyFont="1" applyFill="1" applyBorder="1" applyAlignment="1" applyProtection="1">
      <alignment horizontal="center" vertical="center"/>
      <protection locked="0"/>
    </xf>
    <xf numFmtId="0" fontId="9" fillId="14" borderId="2" xfId="0" applyFont="1" applyFill="1" applyBorder="1" applyAlignment="1" applyProtection="1">
      <alignment horizontal="center" vertical="center"/>
      <protection locked="0"/>
    </xf>
    <xf numFmtId="0" fontId="7" fillId="13" borderId="3" xfId="0" applyFont="1" applyFill="1" applyBorder="1" applyAlignment="1" applyProtection="1">
      <alignment horizontal="center" vertical="center"/>
    </xf>
    <xf numFmtId="0" fontId="7" fillId="13" borderId="5" xfId="0" applyFont="1" applyFill="1" applyBorder="1" applyAlignment="1" applyProtection="1">
      <alignment horizontal="center" vertical="center"/>
    </xf>
    <xf numFmtId="0" fontId="0" fillId="0" borderId="0" xfId="0" applyBorder="1"/>
    <xf numFmtId="0" fontId="15" fillId="15" borderId="3" xfId="0" applyFont="1" applyFill="1" applyBorder="1" applyAlignment="1" applyProtection="1">
      <alignment horizontal="center" vertical="center"/>
    </xf>
    <xf numFmtId="0" fontId="15" fillId="16" borderId="3" xfId="0" applyFont="1" applyFill="1" applyBorder="1" applyAlignment="1" applyProtection="1">
      <alignment horizontal="center" vertical="center"/>
    </xf>
    <xf numFmtId="0" fontId="15" fillId="8" borderId="3" xfId="0" applyFont="1" applyFill="1" applyBorder="1" applyAlignment="1" applyProtection="1">
      <alignment horizontal="center" vertical="center"/>
    </xf>
    <xf numFmtId="0" fontId="15" fillId="16" borderId="2" xfId="0" applyFont="1" applyFill="1" applyBorder="1" applyAlignment="1" applyProtection="1">
      <alignment horizontal="center" vertical="center"/>
    </xf>
    <xf numFmtId="2" fontId="12" fillId="15" borderId="2" xfId="0" applyNumberFormat="1" applyFont="1" applyFill="1" applyBorder="1" applyAlignment="1" applyProtection="1">
      <alignment horizontal="center" vertical="center"/>
    </xf>
    <xf numFmtId="0" fontId="17" fillId="15" borderId="2" xfId="0" applyFont="1" applyFill="1" applyBorder="1" applyAlignment="1" applyProtection="1">
      <alignment horizontal="center" vertical="center"/>
    </xf>
    <xf numFmtId="2" fontId="12" fillId="16" borderId="2" xfId="0" applyNumberFormat="1" applyFont="1" applyFill="1" applyBorder="1" applyAlignment="1" applyProtection="1">
      <alignment horizontal="center" vertical="center"/>
    </xf>
    <xf numFmtId="0" fontId="16" fillId="16" borderId="2" xfId="0" applyFont="1" applyFill="1" applyBorder="1" applyAlignment="1" applyProtection="1">
      <alignment horizontal="center" vertical="center"/>
    </xf>
    <xf numFmtId="2" fontId="12" fillId="8" borderId="2" xfId="0" applyNumberFormat="1" applyFont="1" applyFill="1" applyBorder="1" applyAlignment="1" applyProtection="1">
      <alignment horizontal="center" vertical="center"/>
    </xf>
    <xf numFmtId="0" fontId="16" fillId="8" borderId="2" xfId="0" applyFont="1" applyFill="1" applyBorder="1" applyAlignment="1" applyProtection="1">
      <alignment horizontal="center" vertical="center"/>
    </xf>
    <xf numFmtId="0" fontId="15" fillId="18" borderId="3" xfId="0" applyFont="1" applyFill="1" applyBorder="1" applyAlignment="1" applyProtection="1">
      <alignment horizontal="center" vertical="center"/>
    </xf>
    <xf numFmtId="2" fontId="12" fillId="5" borderId="2" xfId="0" applyNumberFormat="1" applyFont="1" applyFill="1" applyBorder="1" applyAlignment="1" applyProtection="1">
      <alignment horizontal="center" vertical="center"/>
    </xf>
    <xf numFmtId="0" fontId="16" fillId="5" borderId="2" xfId="0" applyFont="1" applyFill="1" applyBorder="1" applyAlignment="1" applyProtection="1">
      <alignment horizontal="center" vertical="center"/>
    </xf>
    <xf numFmtId="0" fontId="15" fillId="7" borderId="3" xfId="0" applyFont="1" applyFill="1" applyBorder="1" applyAlignment="1" applyProtection="1">
      <alignment horizontal="center" vertical="center"/>
    </xf>
    <xf numFmtId="2" fontId="12" fillId="7" borderId="2" xfId="0" applyNumberFormat="1" applyFont="1" applyFill="1" applyBorder="1" applyAlignment="1" applyProtection="1">
      <alignment horizontal="center" vertical="center"/>
    </xf>
    <xf numFmtId="0" fontId="16" fillId="7" borderId="2" xfId="0" applyFont="1" applyFill="1" applyBorder="1" applyAlignment="1" applyProtection="1">
      <alignment horizontal="center" vertical="center"/>
    </xf>
    <xf numFmtId="0" fontId="16" fillId="15" borderId="2" xfId="0" applyFont="1" applyFill="1" applyBorder="1" applyAlignment="1" applyProtection="1">
      <alignment horizontal="center" vertical="center"/>
    </xf>
    <xf numFmtId="2" fontId="12" fillId="15" borderId="3" xfId="0" applyNumberFormat="1" applyFont="1" applyFill="1" applyBorder="1" applyAlignment="1" applyProtection="1">
      <alignment horizontal="center" vertical="center"/>
    </xf>
    <xf numFmtId="0" fontId="16" fillId="15" borderId="3" xfId="0" applyFont="1" applyFill="1" applyBorder="1" applyAlignment="1" applyProtection="1">
      <alignment horizontal="center" vertical="center"/>
    </xf>
    <xf numFmtId="0" fontId="0" fillId="19" borderId="0" xfId="0" applyFill="1" applyBorder="1" applyAlignment="1" applyProtection="1">
      <alignment horizontal="center"/>
    </xf>
    <xf numFmtId="0" fontId="15" fillId="15" borderId="2" xfId="0" applyFont="1" applyFill="1" applyBorder="1" applyAlignment="1" applyProtection="1">
      <alignment horizontal="center" vertical="center"/>
    </xf>
    <xf numFmtId="2" fontId="3" fillId="20" borderId="2" xfId="0" applyNumberFormat="1" applyFont="1" applyFill="1" applyBorder="1" applyAlignment="1">
      <alignment horizontal="center"/>
    </xf>
    <xf numFmtId="0" fontId="15" fillId="8" borderId="2" xfId="0" applyFont="1" applyFill="1" applyBorder="1" applyAlignment="1" applyProtection="1">
      <alignment horizontal="center" vertical="center"/>
    </xf>
    <xf numFmtId="0" fontId="15" fillId="18" borderId="2" xfId="0" applyFont="1" applyFill="1" applyBorder="1" applyAlignment="1" applyProtection="1">
      <alignment horizontal="center" vertical="center"/>
    </xf>
    <xf numFmtId="0" fontId="15" fillId="7" borderId="2" xfId="0" applyFont="1" applyFill="1" applyBorder="1" applyAlignment="1" applyProtection="1">
      <alignment horizontal="center" vertical="center"/>
    </xf>
    <xf numFmtId="0" fontId="8" fillId="19" borderId="2" xfId="0" applyFont="1" applyFill="1" applyBorder="1" applyAlignment="1" applyProtection="1">
      <alignment horizontal="left" vertical="center"/>
      <protection locked="0"/>
    </xf>
    <xf numFmtId="0" fontId="7" fillId="5" borderId="2" xfId="0" applyFont="1" applyFill="1" applyBorder="1" applyAlignment="1" applyProtection="1">
      <alignment horizontal="center" vertical="center"/>
    </xf>
    <xf numFmtId="0" fontId="7" fillId="7" borderId="2" xfId="0" applyFont="1" applyFill="1" applyBorder="1" applyAlignment="1" applyProtection="1">
      <alignment horizontal="center" vertical="center"/>
    </xf>
    <xf numFmtId="0" fontId="7" fillId="8" borderId="2" xfId="0" applyFont="1" applyFill="1" applyBorder="1" applyAlignment="1" applyProtection="1">
      <alignment horizontal="center" vertical="center"/>
    </xf>
    <xf numFmtId="0" fontId="7" fillId="9" borderId="2" xfId="0" applyFont="1" applyFill="1" applyBorder="1" applyAlignment="1" applyProtection="1">
      <alignment horizontal="center" vertical="center"/>
    </xf>
    <xf numFmtId="0" fontId="7" fillId="10" borderId="2" xfId="0" applyFont="1" applyFill="1" applyBorder="1" applyAlignment="1" applyProtection="1">
      <alignment horizontal="center" vertical="center"/>
    </xf>
    <xf numFmtId="0" fontId="7" fillId="11" borderId="2" xfId="0" applyFont="1" applyFill="1" applyBorder="1" applyAlignment="1" applyProtection="1">
      <alignment horizontal="center" vertical="center"/>
    </xf>
    <xf numFmtId="0" fontId="7" fillId="12" borderId="2" xfId="0" applyFont="1" applyFill="1" applyBorder="1" applyAlignment="1" applyProtection="1">
      <alignment horizontal="center" vertical="center"/>
    </xf>
    <xf numFmtId="0" fontId="14" fillId="14" borderId="2" xfId="0" applyFont="1" applyFill="1" applyBorder="1" applyAlignment="1" applyProtection="1">
      <alignment horizontal="center" vertical="center"/>
      <protection locked="0"/>
    </xf>
    <xf numFmtId="0" fontId="14" fillId="7" borderId="2" xfId="0" applyFont="1" applyFill="1" applyBorder="1" applyAlignment="1" applyProtection="1">
      <alignment horizontal="center" vertical="center"/>
      <protection locked="0"/>
    </xf>
    <xf numFmtId="0" fontId="21" fillId="21" borderId="6" xfId="0" applyFont="1" applyFill="1" applyBorder="1" applyAlignment="1" applyProtection="1">
      <alignment horizontal="left" vertical="center"/>
      <protection locked="0"/>
    </xf>
    <xf numFmtId="0" fontId="8" fillId="22" borderId="2" xfId="0" applyFont="1" applyFill="1" applyBorder="1" applyAlignment="1">
      <alignment horizontal="left"/>
    </xf>
    <xf numFmtId="0" fontId="8" fillId="23" borderId="2" xfId="0" applyFont="1" applyFill="1" applyBorder="1" applyAlignment="1">
      <alignment horizontal="left"/>
    </xf>
    <xf numFmtId="0" fontId="8" fillId="24" borderId="2" xfId="0" applyFont="1" applyFill="1" applyBorder="1" applyAlignment="1">
      <alignment horizontal="left"/>
    </xf>
    <xf numFmtId="0" fontId="8" fillId="25" borderId="2" xfId="0" applyFont="1" applyFill="1" applyBorder="1" applyAlignment="1">
      <alignment horizontal="left"/>
    </xf>
    <xf numFmtId="0" fontId="8" fillId="26" borderId="2" xfId="0" applyFont="1" applyFill="1" applyBorder="1" applyAlignment="1">
      <alignment horizontal="left"/>
    </xf>
    <xf numFmtId="0" fontId="8" fillId="27" borderId="2" xfId="0" applyFont="1" applyFill="1" applyBorder="1" applyAlignment="1">
      <alignment horizontal="left"/>
    </xf>
    <xf numFmtId="0" fontId="8" fillId="28" borderId="2" xfId="0" applyFont="1" applyFill="1" applyBorder="1" applyAlignment="1">
      <alignment horizontal="left"/>
    </xf>
    <xf numFmtId="0" fontId="27" fillId="27" borderId="2" xfId="0" applyFont="1" applyFill="1" applyBorder="1" applyAlignment="1">
      <alignment horizontal="left"/>
    </xf>
    <xf numFmtId="3" fontId="26" fillId="19" borderId="2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Protection="1">
      <protection locked="0"/>
    </xf>
    <xf numFmtId="0" fontId="1" fillId="3" borderId="0" xfId="0" applyFont="1" applyFill="1" applyAlignment="1" applyProtection="1">
      <alignment horizontal="center"/>
      <protection locked="0"/>
    </xf>
    <xf numFmtId="0" fontId="0" fillId="19" borderId="0" xfId="0" applyFill="1" applyBorder="1" applyAlignment="1" applyProtection="1">
      <alignment horizontal="center"/>
      <protection locked="0"/>
    </xf>
    <xf numFmtId="0" fontId="2" fillId="4" borderId="3" xfId="0" applyFont="1" applyFill="1" applyBorder="1" applyAlignment="1" applyProtection="1">
      <alignment horizontal="center" vertical="center"/>
      <protection locked="0"/>
    </xf>
    <xf numFmtId="0" fontId="3" fillId="4" borderId="2" xfId="0" applyFont="1" applyFill="1" applyBorder="1" applyAlignment="1" applyProtection="1">
      <alignment horizontal="center" vertical="center"/>
      <protection locked="0"/>
    </xf>
    <xf numFmtId="0" fontId="4" fillId="3" borderId="2" xfId="0" applyFont="1" applyFill="1" applyBorder="1" applyAlignment="1" applyProtection="1">
      <alignment horizontal="center" vertical="center"/>
      <protection locked="0"/>
    </xf>
    <xf numFmtId="0" fontId="5" fillId="4" borderId="2" xfId="0" applyFont="1" applyFill="1" applyBorder="1" applyAlignment="1" applyProtection="1">
      <alignment horizontal="center" vertical="center"/>
      <protection locked="0"/>
    </xf>
    <xf numFmtId="0" fontId="25" fillId="19" borderId="2" xfId="0" applyFont="1" applyFill="1" applyBorder="1" applyAlignment="1" applyProtection="1">
      <alignment horizontal="center" vertical="center"/>
      <protection locked="0"/>
    </xf>
    <xf numFmtId="1" fontId="25" fillId="19" borderId="2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Border="1" applyAlignment="1" applyProtection="1">
      <alignment horizontal="center" vertical="center"/>
      <protection locked="0"/>
    </xf>
    <xf numFmtId="0" fontId="22" fillId="21" borderId="6" xfId="0" applyFont="1" applyFill="1" applyBorder="1" applyAlignment="1" applyProtection="1">
      <alignment horizontal="center" vertical="center"/>
      <protection locked="0"/>
    </xf>
    <xf numFmtId="0" fontId="26" fillId="19" borderId="2" xfId="0" applyFont="1" applyFill="1" applyBorder="1" applyAlignment="1" applyProtection="1">
      <alignment horizontal="center" vertical="center"/>
    </xf>
    <xf numFmtId="0" fontId="23" fillId="21" borderId="6" xfId="0" applyFont="1" applyFill="1" applyBorder="1" applyAlignment="1" applyProtection="1">
      <alignment horizontal="center" vertical="center"/>
    </xf>
    <xf numFmtId="1" fontId="22" fillId="21" borderId="6" xfId="0" applyNumberFormat="1" applyFont="1" applyFill="1" applyBorder="1" applyAlignment="1" applyProtection="1">
      <alignment horizontal="center" vertical="center"/>
      <protection locked="0"/>
    </xf>
    <xf numFmtId="1" fontId="16" fillId="8" borderId="2" xfId="0" applyNumberFormat="1" applyFont="1" applyFill="1" applyBorder="1" applyAlignment="1" applyProtection="1">
      <alignment horizontal="center" vertical="center"/>
    </xf>
    <xf numFmtId="2" fontId="25" fillId="19" borderId="2" xfId="0" applyNumberFormat="1" applyFont="1" applyFill="1" applyBorder="1" applyAlignment="1" applyProtection="1">
      <alignment horizontal="center" vertical="center"/>
      <protection locked="0"/>
    </xf>
    <xf numFmtId="1" fontId="9" fillId="8" borderId="2" xfId="0" applyNumberFormat="1" applyFont="1" applyFill="1" applyBorder="1" applyAlignment="1" applyProtection="1">
      <alignment horizontal="center" vertical="center"/>
    </xf>
    <xf numFmtId="1" fontId="15" fillId="18" borderId="3" xfId="0" applyNumberFormat="1" applyFont="1" applyFill="1" applyBorder="1" applyAlignment="1" applyProtection="1">
      <alignment horizontal="center" vertical="center"/>
    </xf>
    <xf numFmtId="1" fontId="9" fillId="7" borderId="2" xfId="0" applyNumberFormat="1" applyFont="1" applyFill="1" applyBorder="1" applyAlignment="1" applyProtection="1">
      <alignment horizontal="center" vertical="center"/>
    </xf>
    <xf numFmtId="1" fontId="9" fillId="15" borderId="2" xfId="0" applyNumberFormat="1" applyFont="1" applyFill="1" applyBorder="1" applyAlignment="1" applyProtection="1">
      <alignment horizontal="center" vertical="center"/>
    </xf>
    <xf numFmtId="1" fontId="9" fillId="16" borderId="2" xfId="0" applyNumberFormat="1" applyFont="1" applyFill="1" applyBorder="1" applyAlignment="1" applyProtection="1">
      <alignment horizontal="center" vertical="center"/>
    </xf>
    <xf numFmtId="1" fontId="9" fillId="18" borderId="2" xfId="0" applyNumberFormat="1" applyFont="1" applyFill="1" applyBorder="1" applyAlignment="1" applyProtection="1">
      <alignment horizontal="center" vertical="center"/>
    </xf>
    <xf numFmtId="1" fontId="9" fillId="5" borderId="2" xfId="0" applyNumberFormat="1" applyFont="1" applyFill="1" applyBorder="1" applyAlignment="1" applyProtection="1">
      <alignment horizontal="center" vertical="center"/>
    </xf>
    <xf numFmtId="1" fontId="9" fillId="15" borderId="3" xfId="0" applyNumberFormat="1" applyFont="1" applyFill="1" applyBorder="1" applyAlignment="1" applyProtection="1">
      <alignment horizontal="center" vertical="center"/>
    </xf>
    <xf numFmtId="1" fontId="12" fillId="16" borderId="2" xfId="0" applyNumberFormat="1" applyFont="1" applyFill="1" applyBorder="1" applyAlignment="1" applyProtection="1">
      <alignment horizontal="center" vertical="center"/>
    </xf>
    <xf numFmtId="1" fontId="12" fillId="8" borderId="2" xfId="0" applyNumberFormat="1" applyFont="1" applyFill="1" applyBorder="1" applyAlignment="1" applyProtection="1">
      <alignment horizontal="center" vertical="center"/>
    </xf>
    <xf numFmtId="1" fontId="15" fillId="8" borderId="3" xfId="0" applyNumberFormat="1" applyFont="1" applyFill="1" applyBorder="1" applyAlignment="1" applyProtection="1">
      <alignment horizontal="center" vertical="center"/>
    </xf>
    <xf numFmtId="1" fontId="15" fillId="7" borderId="3" xfId="0" applyNumberFormat="1" applyFont="1" applyFill="1" applyBorder="1" applyAlignment="1" applyProtection="1">
      <alignment horizontal="center" vertical="center"/>
    </xf>
    <xf numFmtId="1" fontId="12" fillId="7" borderId="2" xfId="0" applyNumberFormat="1" applyFont="1" applyFill="1" applyBorder="1" applyAlignment="1" applyProtection="1">
      <alignment horizontal="center" vertical="center"/>
    </xf>
    <xf numFmtId="1" fontId="12" fillId="15" borderId="2" xfId="0" applyNumberFormat="1" applyFont="1" applyFill="1" applyBorder="1" applyAlignment="1" applyProtection="1">
      <alignment horizontal="center" vertical="center"/>
    </xf>
    <xf numFmtId="1" fontId="15" fillId="15" borderId="3" xfId="0" applyNumberFormat="1" applyFont="1" applyFill="1" applyBorder="1" applyAlignment="1" applyProtection="1">
      <alignment horizontal="center" vertical="center"/>
    </xf>
    <xf numFmtId="1" fontId="15" fillId="16" borderId="3" xfId="0" applyNumberFormat="1" applyFont="1" applyFill="1" applyBorder="1" applyAlignment="1" applyProtection="1">
      <alignment horizontal="center" vertical="center"/>
    </xf>
    <xf numFmtId="1" fontId="12" fillId="5" borderId="2" xfId="0" applyNumberFormat="1" applyFont="1" applyFill="1" applyBorder="1" applyAlignment="1" applyProtection="1">
      <alignment horizontal="center" vertical="center"/>
    </xf>
    <xf numFmtId="1" fontId="15" fillId="17" borderId="3" xfId="0" applyNumberFormat="1" applyFont="1" applyFill="1" applyBorder="1" applyAlignment="1" applyProtection="1">
      <alignment horizontal="center" vertical="center"/>
    </xf>
    <xf numFmtId="1" fontId="12" fillId="15" borderId="3" xfId="0" applyNumberFormat="1" applyFont="1" applyFill="1" applyBorder="1" applyAlignment="1" applyProtection="1">
      <alignment horizontal="center" vertical="center"/>
    </xf>
    <xf numFmtId="1" fontId="15" fillId="16" borderId="2" xfId="0" applyNumberFormat="1" applyFont="1" applyFill="1" applyBorder="1" applyAlignment="1" applyProtection="1">
      <alignment horizontal="center" vertical="center"/>
    </xf>
    <xf numFmtId="0" fontId="14" fillId="7" borderId="2" xfId="0" applyFont="1" applyFill="1" applyBorder="1" applyAlignment="1" applyProtection="1">
      <alignment horizontal="left" vertical="center"/>
      <protection locked="0"/>
    </xf>
    <xf numFmtId="0" fontId="28" fillId="10" borderId="2" xfId="0" applyFont="1" applyFill="1" applyBorder="1" applyAlignment="1" applyProtection="1">
      <alignment horizontal="center" vertical="center"/>
    </xf>
    <xf numFmtId="0" fontId="28" fillId="10" borderId="2" xfId="0" applyFont="1" applyFill="1" applyBorder="1" applyAlignment="1" applyProtection="1">
      <alignment horizontal="left" vertical="center"/>
    </xf>
    <xf numFmtId="0" fontId="28" fillId="7" borderId="2" xfId="0" applyFont="1" applyFill="1" applyBorder="1" applyAlignment="1" applyProtection="1">
      <alignment horizontal="center" vertical="center"/>
    </xf>
    <xf numFmtId="0" fontId="28" fillId="13" borderId="3" xfId="0" applyFont="1" applyFill="1" applyBorder="1" applyAlignment="1" applyProtection="1">
      <alignment horizontal="center" vertical="center"/>
    </xf>
    <xf numFmtId="0" fontId="7" fillId="5" borderId="2" xfId="0" applyFont="1" applyFill="1" applyBorder="1" applyAlignment="1" applyProtection="1">
      <alignment horizontal="left" vertical="center"/>
    </xf>
    <xf numFmtId="0" fontId="28" fillId="7" borderId="2" xfId="0" applyFont="1" applyFill="1" applyBorder="1" applyAlignment="1" applyProtection="1">
      <alignment horizontal="left" vertical="center"/>
    </xf>
    <xf numFmtId="0" fontId="7" fillId="12" borderId="2" xfId="0" applyFont="1" applyFill="1" applyBorder="1" applyAlignment="1" applyProtection="1">
      <alignment horizontal="left" vertical="center"/>
    </xf>
    <xf numFmtId="0" fontId="7" fillId="9" borderId="2" xfId="0" applyFont="1" applyFill="1" applyBorder="1" applyAlignment="1" applyProtection="1">
      <alignment horizontal="left" vertical="center"/>
    </xf>
    <xf numFmtId="0" fontId="7" fillId="11" borderId="2" xfId="0" applyFont="1" applyFill="1" applyBorder="1" applyAlignment="1" applyProtection="1">
      <alignment horizontal="left" vertical="center"/>
    </xf>
    <xf numFmtId="0" fontId="28" fillId="13" borderId="3" xfId="0" applyFont="1" applyFill="1" applyBorder="1" applyAlignment="1" applyProtection="1">
      <alignment horizontal="left" vertical="center"/>
    </xf>
    <xf numFmtId="0" fontId="29" fillId="13" borderId="3" xfId="0" applyFont="1" applyFill="1" applyBorder="1" applyAlignment="1" applyProtection="1">
      <alignment horizontal="left" vertical="center"/>
    </xf>
    <xf numFmtId="0" fontId="30" fillId="8" borderId="2" xfId="0" applyFont="1" applyFill="1" applyBorder="1" applyAlignment="1" applyProtection="1">
      <alignment horizontal="center" vertical="center"/>
      <protection locked="0"/>
    </xf>
    <xf numFmtId="0" fontId="24" fillId="19" borderId="3" xfId="0" applyFont="1" applyFill="1" applyBorder="1" applyAlignment="1" applyProtection="1">
      <alignment horizontal="center" vertical="center"/>
      <protection locked="0"/>
    </xf>
    <xf numFmtId="0" fontId="24" fillId="19" borderId="4" xfId="0" applyFont="1" applyFill="1" applyBorder="1" applyAlignment="1" applyProtection="1">
      <alignment horizontal="center" vertical="center"/>
      <protection locked="0"/>
    </xf>
    <xf numFmtId="0" fontId="24" fillId="19" borderId="5" xfId="0" applyFont="1" applyFill="1" applyBorder="1" applyAlignment="1" applyProtection="1">
      <alignment horizontal="center" vertical="center"/>
      <protection locked="0"/>
    </xf>
    <xf numFmtId="0" fontId="20" fillId="21" borderId="7" xfId="0" applyFont="1" applyFill="1" applyBorder="1" applyAlignment="1" applyProtection="1">
      <alignment horizontal="center" vertical="center"/>
      <protection locked="0"/>
    </xf>
    <xf numFmtId="0" fontId="20" fillId="21" borderId="8" xfId="0" applyFont="1" applyFill="1" applyBorder="1" applyAlignment="1" applyProtection="1">
      <alignment horizontal="center" vertical="center"/>
      <protection locked="0"/>
    </xf>
    <xf numFmtId="0" fontId="20" fillId="21" borderId="3" xfId="0" applyFont="1" applyFill="1" applyBorder="1" applyAlignment="1" applyProtection="1">
      <alignment horizontal="center" vertical="center"/>
      <protection locked="0"/>
    </xf>
    <xf numFmtId="0" fontId="20" fillId="21" borderId="4" xfId="0" applyFont="1" applyFill="1" applyBorder="1" applyAlignment="1" applyProtection="1">
      <alignment horizontal="center" vertical="center"/>
      <protection locked="0"/>
    </xf>
    <xf numFmtId="0" fontId="19" fillId="19" borderId="1" xfId="0" applyFont="1" applyFill="1" applyBorder="1" applyAlignment="1" applyProtection="1">
      <alignment horizontal="center"/>
      <protection locked="0"/>
    </xf>
    <xf numFmtId="0" fontId="31" fillId="19" borderId="3" xfId="0" applyFont="1" applyFill="1" applyBorder="1" applyAlignment="1" applyProtection="1">
      <alignment horizontal="center" vertical="center"/>
      <protection locked="0"/>
    </xf>
    <xf numFmtId="0" fontId="31" fillId="19" borderId="5" xfId="0" applyFont="1" applyFill="1" applyBorder="1" applyAlignment="1" applyProtection="1">
      <alignment horizontal="center" vertical="center"/>
      <protection locked="0"/>
    </xf>
    <xf numFmtId="0" fontId="31" fillId="19" borderId="4" xfId="0" applyFont="1" applyFill="1" applyBorder="1" applyAlignment="1" applyProtection="1">
      <alignment horizontal="center" vertical="center"/>
      <protection locked="0"/>
    </xf>
    <xf numFmtId="0" fontId="20" fillId="21" borderId="5" xfId="0" applyFont="1" applyFill="1" applyBorder="1" applyAlignment="1" applyProtection="1">
      <alignment horizontal="center" vertical="center"/>
      <protection locked="0"/>
    </xf>
    <xf numFmtId="0" fontId="7" fillId="19" borderId="3" xfId="0" applyFont="1" applyFill="1" applyBorder="1" applyAlignment="1" applyProtection="1">
      <alignment horizontal="center" vertical="center"/>
      <protection locked="0"/>
    </xf>
    <xf numFmtId="0" fontId="7" fillId="19" borderId="5" xfId="0" applyFont="1" applyFill="1" applyBorder="1" applyAlignment="1" applyProtection="1">
      <alignment horizontal="center" vertical="center"/>
      <protection locked="0"/>
    </xf>
    <xf numFmtId="0" fontId="7" fillId="19" borderId="4" xfId="0" applyFont="1" applyFill="1" applyBorder="1" applyAlignment="1" applyProtection="1">
      <alignment horizontal="center" vertical="center"/>
      <protection locked="0"/>
    </xf>
    <xf numFmtId="0" fontId="18" fillId="3" borderId="1" xfId="0" applyFont="1" applyFill="1" applyBorder="1" applyAlignment="1" applyProtection="1">
      <alignment horizontal="center" vertical="center"/>
    </xf>
    <xf numFmtId="0" fontId="15" fillId="9" borderId="1" xfId="0" applyFont="1" applyFill="1" applyBorder="1" applyAlignment="1" applyProtection="1">
      <alignment horizontal="center" vertical="center"/>
    </xf>
    <xf numFmtId="0" fontId="1" fillId="3" borderId="1" xfId="0" applyFont="1" applyFill="1" applyBorder="1" applyAlignment="1" applyProtection="1">
      <alignment horizontal="center"/>
    </xf>
    <xf numFmtId="0" fontId="8" fillId="19" borderId="2" xfId="0" applyFont="1" applyFill="1" applyBorder="1" applyAlignment="1" applyProtection="1">
      <alignment horizontal="left" vertical="center" wrapText="1"/>
      <protection locked="0"/>
    </xf>
    <xf numFmtId="0" fontId="21" fillId="21" borderId="6" xfId="0" applyFont="1" applyFill="1" applyBorder="1" applyAlignment="1" applyProtection="1">
      <alignment horizontal="left" vertical="center" wrapText="1"/>
      <protection locked="0"/>
    </xf>
    <xf numFmtId="0" fontId="32" fillId="19" borderId="2" xfId="0" applyFont="1" applyFill="1" applyBorder="1" applyAlignment="1" applyProtection="1">
      <alignment horizontal="left" vertical="center"/>
      <protection locked="0"/>
    </xf>
  </cellXfs>
  <cellStyles count="2">
    <cellStyle name="Explanatory Text" xfId="1" builtinId="53" customBuiltin="1"/>
    <cellStyle name="Normal" xfId="0" builtinId="0"/>
  </cellStyles>
  <dxfs count="0"/>
  <tableStyles count="0" defaultTableStyle="TableStyleMedium9" defaultPivotStyle="PivotStyleLight16"/>
  <colors>
    <indexedColors>
      <rgbColor rgb="FF000000"/>
      <rgbColor rgb="FFFFFFFF"/>
      <rgbColor rgb="FFFF0000"/>
      <rgbColor rgb="FF9BBB59"/>
      <rgbColor rgb="FF0000FF"/>
      <rgbColor rgb="FFFFFF00"/>
      <rgbColor rgb="FFFF00FF"/>
      <rgbColor rgb="FF00CC99"/>
      <rgbColor rgb="FF800000"/>
      <rgbColor rgb="FF006600"/>
      <rgbColor rgb="FF000080"/>
      <rgbColor rgb="FF9C6500"/>
      <rgbColor rgb="FF800080"/>
      <rgbColor rgb="FF00B050"/>
      <rgbColor rgb="FFE6B9B8"/>
      <rgbColor rgb="FF878787"/>
      <rgbColor rgb="FF93A9CE"/>
      <rgbColor rgb="FFAB4744"/>
      <rgbColor rgb="FFF9FDBF"/>
      <rgbColor rgb="FFB7DEE8"/>
      <rgbColor rgb="FF660066"/>
      <rgbColor rgb="FFDC853E"/>
      <rgbColor rgb="FF0070C0"/>
      <rgbColor rgb="FFC6D9F1"/>
      <rgbColor rgb="FF000080"/>
      <rgbColor rgb="FFFF00FF"/>
      <rgbColor rgb="FF92D050"/>
      <rgbColor rgb="FF00FFFF"/>
      <rgbColor rgb="FF800080"/>
      <rgbColor rgb="FF800000"/>
      <rgbColor rgb="FF558ED5"/>
      <rgbColor rgb="FF0000FF"/>
      <rgbColor rgb="FF00B0F0"/>
      <rgbColor rgb="FFB3A2C7"/>
      <rgbColor rgb="FFCCFF99"/>
      <rgbColor rgb="FFFFEB9C"/>
      <rgbColor rgb="FF93CDDD"/>
      <rgbColor rgb="FFD09493"/>
      <rgbColor rgb="FFCC99FF"/>
      <rgbColor rgb="FFF4DA90"/>
      <rgbColor rgb="FF4F81BD"/>
      <rgbColor rgb="FF4BACC6"/>
      <rgbColor rgb="FF99CC00"/>
      <rgbColor rgb="FFFFCC00"/>
      <rgbColor rgb="FFFFC000"/>
      <rgbColor rgb="FF8AA64F"/>
      <rgbColor rgb="FF725990"/>
      <rgbColor rgb="FF948A54"/>
      <rgbColor rgb="FF002060"/>
      <rgbColor rgb="FF4299B0"/>
      <rgbColor rgb="FF003300"/>
      <rgbColor rgb="FF333300"/>
      <rgbColor rgb="FF8064A2"/>
      <rgbColor rgb="FFC0504D"/>
      <rgbColor rgb="FF376092"/>
      <rgbColor rgb="FF4F6228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CC99"/>
      <color rgb="FFB7DEE8"/>
      <color rgb="FFE6B9B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">
    <pageSetUpPr fitToPage="1"/>
  </sheetPr>
  <dimension ref="A1:L39"/>
  <sheetViews>
    <sheetView tabSelected="1" topLeftCell="A21" workbookViewId="0">
      <selection activeCell="B39" sqref="B39"/>
    </sheetView>
  </sheetViews>
  <sheetFormatPr defaultColWidth="9" defaultRowHeight="14.25"/>
  <cols>
    <col min="1" max="1" width="9.375" style="73" bestFit="1" customWidth="1"/>
    <col min="2" max="2" width="27" style="73" customWidth="1"/>
    <col min="3" max="6" width="9" style="73"/>
    <col min="7" max="7" width="11.75" style="73"/>
    <col min="8" max="8" width="11.75" style="73" bestFit="1" customWidth="1"/>
    <col min="9" max="9" width="24.25" style="73" customWidth="1"/>
    <col min="10" max="10" width="11" style="73"/>
    <col min="11" max="11" width="9" style="73"/>
    <col min="12" max="12" width="42.125" style="73" customWidth="1"/>
    <col min="13" max="16384" width="9" style="73"/>
  </cols>
  <sheetData>
    <row r="1" spans="1:12" ht="21.95" customHeight="1">
      <c r="B1" s="74" t="s">
        <v>18</v>
      </c>
      <c r="E1" s="129"/>
      <c r="F1" s="129"/>
      <c r="G1" s="75"/>
    </row>
    <row r="2" spans="1:12" ht="21.95" customHeight="1">
      <c r="A2" s="76" t="s">
        <v>1</v>
      </c>
      <c r="B2" s="77" t="s">
        <v>2</v>
      </c>
      <c r="C2" s="78" t="s">
        <v>6</v>
      </c>
      <c r="D2" s="78" t="s">
        <v>7</v>
      </c>
      <c r="E2" s="78" t="s">
        <v>0</v>
      </c>
      <c r="F2" s="78" t="s">
        <v>5</v>
      </c>
      <c r="G2" s="78" t="s">
        <v>1</v>
      </c>
      <c r="H2" s="79" t="s">
        <v>3</v>
      </c>
    </row>
    <row r="3" spans="1:12" ht="28.9" customHeight="1">
      <c r="A3" s="122">
        <f>POKOJE!A3</f>
        <v>312</v>
      </c>
      <c r="B3" s="53" t="s">
        <v>19</v>
      </c>
      <c r="C3" s="80">
        <f>ŁÓŻKO!AH3</f>
        <v>28</v>
      </c>
      <c r="D3" s="80">
        <f>BIURKO!AH3</f>
        <v>32</v>
      </c>
      <c r="E3" s="80">
        <f>SZAFA!AH3</f>
        <v>32</v>
      </c>
      <c r="F3" s="80">
        <f>PÓŁKA!AH3</f>
        <v>32</v>
      </c>
      <c r="G3" s="81">
        <f>POKOJE!J3</f>
        <v>141</v>
      </c>
      <c r="H3" s="84">
        <f>SUM(C3:G3)</f>
        <v>265</v>
      </c>
      <c r="I3" s="82" t="str">
        <f>IF(H3&gt;=300,"OK","UWAGA!!!")</f>
        <v>UWAGA!!!</v>
      </c>
      <c r="L3" s="73" t="s">
        <v>17</v>
      </c>
    </row>
    <row r="4" spans="1:12" ht="28.9" customHeight="1">
      <c r="A4" s="123"/>
      <c r="B4" s="53" t="s">
        <v>20</v>
      </c>
      <c r="C4" s="80">
        <f>ŁÓŻKO!AH4</f>
        <v>44</v>
      </c>
      <c r="D4" s="80">
        <f>BIURKO!AH4</f>
        <v>48</v>
      </c>
      <c r="E4" s="80">
        <f>SZAFA!AH4</f>
        <v>48</v>
      </c>
      <c r="F4" s="80">
        <f>PÓŁKA!AH4</f>
        <v>48</v>
      </c>
      <c r="G4" s="81">
        <f>POKOJE!J3</f>
        <v>141</v>
      </c>
      <c r="H4" s="84">
        <f>SUM(C4:G4)</f>
        <v>329</v>
      </c>
      <c r="I4" s="82" t="str">
        <f>IF(H4&gt;=300,"OK","UWAGA!!!")</f>
        <v>OK</v>
      </c>
    </row>
    <row r="5" spans="1:12" ht="28.9" customHeight="1">
      <c r="A5" s="122">
        <f>POKOJE!A4</f>
        <v>313</v>
      </c>
      <c r="B5" s="63" t="s">
        <v>16</v>
      </c>
      <c r="C5" s="83">
        <f>ŁÓŻKO!AH5</f>
        <v>24</v>
      </c>
      <c r="D5" s="83">
        <f>BIURKO!AH5</f>
        <v>24</v>
      </c>
      <c r="E5" s="83">
        <f>SZAFA!AH5</f>
        <v>36</v>
      </c>
      <c r="F5" s="83">
        <f>PÓŁKA!AH5</f>
        <v>32</v>
      </c>
      <c r="G5" s="86">
        <f>POKOJE!J4</f>
        <v>131</v>
      </c>
      <c r="H5" s="85">
        <f>SUM(C5:G5)</f>
        <v>247</v>
      </c>
      <c r="I5" s="82" t="str">
        <f>IF(H5&gt;=300,"OK","UWAGA!!!")</f>
        <v>UWAGA!!!</v>
      </c>
    </row>
    <row r="6" spans="1:12" ht="28.9" customHeight="1">
      <c r="A6" s="123"/>
      <c r="B6" s="63" t="s">
        <v>21</v>
      </c>
      <c r="C6" s="83">
        <f>ŁÓŻKO!AH6</f>
        <v>24</v>
      </c>
      <c r="D6" s="83">
        <f>BIURKO!AH6</f>
        <v>28</v>
      </c>
      <c r="E6" s="83">
        <f>SZAFA!AH6</f>
        <v>32</v>
      </c>
      <c r="F6" s="83">
        <f>PÓŁKA!AH6</f>
        <v>32</v>
      </c>
      <c r="G6" s="86">
        <f>POKOJE!J4</f>
        <v>131</v>
      </c>
      <c r="H6" s="85">
        <f>SUM(C6:G6)</f>
        <v>247</v>
      </c>
      <c r="I6" s="82" t="str">
        <f t="shared" ref="I6:I39" si="0">IF(H6&gt;=300,"OK","UWAGA!!!")</f>
        <v>UWAGA!!!</v>
      </c>
    </row>
    <row r="7" spans="1:12" ht="28.9" customHeight="1">
      <c r="A7" s="130">
        <f>POKOJE!A5</f>
        <v>319</v>
      </c>
      <c r="B7" s="140" t="s">
        <v>23</v>
      </c>
      <c r="C7" s="80">
        <f>ŁÓŻKO!AH7</f>
        <v>48</v>
      </c>
      <c r="D7" s="80">
        <f>BIURKO!AH7</f>
        <v>48</v>
      </c>
      <c r="E7" s="80">
        <f>SZAFA!AH7</f>
        <v>32</v>
      </c>
      <c r="F7" s="80">
        <f>PÓŁKA!AH7</f>
        <v>32</v>
      </c>
      <c r="G7" s="88">
        <f>POKOJE!J5</f>
        <v>124</v>
      </c>
      <c r="H7" s="84">
        <f t="shared" ref="H7:H9" si="1">SUM(C7:G7)</f>
        <v>284</v>
      </c>
      <c r="I7" s="82" t="str">
        <f t="shared" si="0"/>
        <v>UWAGA!!!</v>
      </c>
    </row>
    <row r="8" spans="1:12" ht="28.9" customHeight="1">
      <c r="A8" s="131"/>
      <c r="B8" s="53" t="s">
        <v>22</v>
      </c>
      <c r="C8" s="80">
        <f>ŁÓŻKO!AH8</f>
        <v>47</v>
      </c>
      <c r="D8" s="80">
        <f>BIURKO!AH8</f>
        <v>44</v>
      </c>
      <c r="E8" s="80">
        <f>SZAFA!AH8</f>
        <v>32</v>
      </c>
      <c r="F8" s="80">
        <f>PÓŁKA!AH8</f>
        <v>32</v>
      </c>
      <c r="G8" s="88">
        <f>POKOJE!J5</f>
        <v>124</v>
      </c>
      <c r="H8" s="84">
        <f t="shared" si="1"/>
        <v>279</v>
      </c>
      <c r="I8" s="82" t="str">
        <f t="shared" si="0"/>
        <v>UWAGA!!!</v>
      </c>
    </row>
    <row r="9" spans="1:12" ht="28.9" customHeight="1">
      <c r="A9" s="131"/>
      <c r="B9" s="53" t="s">
        <v>24</v>
      </c>
      <c r="C9" s="80">
        <f>ŁÓŻKO!AH9</f>
        <v>44</v>
      </c>
      <c r="D9" s="80">
        <f>BIURKO!AH9</f>
        <v>40</v>
      </c>
      <c r="E9" s="80">
        <f>SZAFA!AH9</f>
        <v>32</v>
      </c>
      <c r="F9" s="80">
        <f>PÓŁKA!AH9</f>
        <v>32</v>
      </c>
      <c r="G9" s="88">
        <f>POKOJE!J5</f>
        <v>124</v>
      </c>
      <c r="H9" s="84">
        <f t="shared" si="1"/>
        <v>272</v>
      </c>
      <c r="I9" s="82" t="str">
        <f t="shared" si="0"/>
        <v>UWAGA!!!</v>
      </c>
    </row>
    <row r="10" spans="1:12" ht="28.9" customHeight="1">
      <c r="A10" s="132"/>
      <c r="B10" s="53" t="s">
        <v>25</v>
      </c>
      <c r="C10" s="80">
        <f>ŁÓŻKO!AH10</f>
        <v>29</v>
      </c>
      <c r="D10" s="80">
        <f>BIURKO!AH10</f>
        <v>44</v>
      </c>
      <c r="E10" s="80">
        <f>SZAFA!AH10</f>
        <v>32</v>
      </c>
      <c r="F10" s="80">
        <f>PÓŁKA!AH10</f>
        <v>32</v>
      </c>
      <c r="G10" s="88">
        <f>POKOJE!J5</f>
        <v>124</v>
      </c>
      <c r="H10" s="84">
        <f t="shared" ref="H10" si="2">SUM(C10:G10)</f>
        <v>261</v>
      </c>
      <c r="I10" s="82" t="str">
        <f t="shared" si="0"/>
        <v>UWAGA!!!</v>
      </c>
    </row>
    <row r="11" spans="1:12" ht="28.9" customHeight="1">
      <c r="A11" s="127">
        <f>POKOJE!A6</f>
        <v>320</v>
      </c>
      <c r="B11" s="63" t="s">
        <v>26</v>
      </c>
      <c r="C11" s="83">
        <f>ŁÓŻKO!AH11</f>
        <v>31</v>
      </c>
      <c r="D11" s="83">
        <f>BIURKO!AH11</f>
        <v>48</v>
      </c>
      <c r="E11" s="83">
        <f>SZAFA!AH11</f>
        <v>48</v>
      </c>
      <c r="F11" s="83">
        <f>PÓŁKA!AH11</f>
        <v>48</v>
      </c>
      <c r="G11" s="86">
        <f>POKOJE!J6</f>
        <v>138</v>
      </c>
      <c r="H11" s="85">
        <f>SUM(C11:G11)</f>
        <v>313</v>
      </c>
      <c r="I11" s="82" t="str">
        <f t="shared" si="0"/>
        <v>OK</v>
      </c>
    </row>
    <row r="12" spans="1:12" ht="28.9" customHeight="1">
      <c r="A12" s="128"/>
      <c r="B12" s="63" t="s">
        <v>27</v>
      </c>
      <c r="C12" s="83">
        <f>ŁÓŻKO!AH12</f>
        <v>42</v>
      </c>
      <c r="D12" s="83">
        <f>BIURKO!AH12</f>
        <v>48</v>
      </c>
      <c r="E12" s="83">
        <f>SZAFA!AH12</f>
        <v>48</v>
      </c>
      <c r="F12" s="83">
        <f>PÓŁKA!AH12</f>
        <v>48</v>
      </c>
      <c r="G12" s="86">
        <f>POKOJE!J6</f>
        <v>138</v>
      </c>
      <c r="H12" s="85">
        <f>SUM(C12:G12)</f>
        <v>324</v>
      </c>
      <c r="I12" s="82" t="str">
        <f t="shared" si="0"/>
        <v>OK</v>
      </c>
    </row>
    <row r="13" spans="1:12" ht="28.9" customHeight="1">
      <c r="A13" s="122">
        <f>POKOJE!A7</f>
        <v>321</v>
      </c>
      <c r="B13" s="53" t="s">
        <v>28</v>
      </c>
      <c r="C13" s="80">
        <f>ŁÓŻKO!AH13</f>
        <v>23</v>
      </c>
      <c r="D13" s="80">
        <f>BIURKO!AH13</f>
        <v>16</v>
      </c>
      <c r="E13" s="80">
        <f>SZAFA!AH13</f>
        <v>0</v>
      </c>
      <c r="F13" s="80">
        <f>PÓŁKA!AH13</f>
        <v>16</v>
      </c>
      <c r="G13" s="88">
        <f>POKOJE!J7</f>
        <v>141</v>
      </c>
      <c r="H13" s="84">
        <f t="shared" ref="H13:H30" si="3">SUM(C13:G13)</f>
        <v>196</v>
      </c>
      <c r="I13" s="82" t="str">
        <f t="shared" si="0"/>
        <v>UWAGA!!!</v>
      </c>
    </row>
    <row r="14" spans="1:12" ht="28.9" customHeight="1">
      <c r="A14" s="123"/>
      <c r="B14" s="53" t="s">
        <v>29</v>
      </c>
      <c r="C14" s="80">
        <f>ŁÓŻKO!AH14</f>
        <v>29</v>
      </c>
      <c r="D14" s="80">
        <f>BIURKO!AH14</f>
        <v>32</v>
      </c>
      <c r="E14" s="80">
        <f>SZAFA!AH14</f>
        <v>16</v>
      </c>
      <c r="F14" s="80">
        <f>PÓŁKA!AH14</f>
        <v>10</v>
      </c>
      <c r="G14" s="88">
        <f>POKOJE!J7</f>
        <v>141</v>
      </c>
      <c r="H14" s="84">
        <f t="shared" si="3"/>
        <v>228</v>
      </c>
      <c r="I14" s="82" t="str">
        <f t="shared" si="0"/>
        <v>UWAGA!!!</v>
      </c>
    </row>
    <row r="15" spans="1:12" ht="28.9" customHeight="1">
      <c r="A15" s="127">
        <f>POKOJE!A8</f>
        <v>322</v>
      </c>
      <c r="B15" s="141" t="s">
        <v>30</v>
      </c>
      <c r="C15" s="83">
        <f>ŁÓŻKO!AH15</f>
        <v>24</v>
      </c>
      <c r="D15" s="83">
        <f>BIURKO!AH15</f>
        <v>16</v>
      </c>
      <c r="E15" s="83">
        <f>SZAFA!AH15</f>
        <v>32</v>
      </c>
      <c r="F15" s="83">
        <f>PÓŁKA!AH15</f>
        <v>28</v>
      </c>
      <c r="G15" s="86">
        <f>POKOJE!J8</f>
        <v>138</v>
      </c>
      <c r="H15" s="85">
        <f t="shared" si="3"/>
        <v>238</v>
      </c>
      <c r="I15" s="82" t="str">
        <f t="shared" si="0"/>
        <v>UWAGA!!!</v>
      </c>
    </row>
    <row r="16" spans="1:12" ht="28.9" customHeight="1">
      <c r="A16" s="128"/>
      <c r="B16" s="63" t="s">
        <v>31</v>
      </c>
      <c r="C16" s="83">
        <f>ŁÓŻKO!AH16</f>
        <v>26</v>
      </c>
      <c r="D16" s="83">
        <f>BIURKO!AH16</f>
        <v>16</v>
      </c>
      <c r="E16" s="83">
        <f>SZAFA!AH16</f>
        <v>32</v>
      </c>
      <c r="F16" s="83">
        <f>PÓŁKA!AH16</f>
        <v>28</v>
      </c>
      <c r="G16" s="86">
        <f>POKOJE!J8</f>
        <v>138</v>
      </c>
      <c r="H16" s="85">
        <f t="shared" si="3"/>
        <v>240</v>
      </c>
      <c r="I16" s="82" t="str">
        <f t="shared" si="0"/>
        <v>UWAGA!!!</v>
      </c>
    </row>
    <row r="17" spans="1:9" ht="28.9" customHeight="1">
      <c r="A17" s="134">
        <f>POKOJE!A9</f>
        <v>323</v>
      </c>
      <c r="B17" s="53" t="s">
        <v>32</v>
      </c>
      <c r="C17" s="80">
        <f>ŁÓŻKO!AH17</f>
        <v>48</v>
      </c>
      <c r="D17" s="80">
        <f>BIURKO!AH17</f>
        <v>32</v>
      </c>
      <c r="E17" s="80">
        <f>SZAFA!AH17</f>
        <v>48</v>
      </c>
      <c r="F17" s="80">
        <f>PÓŁKA!AH17</f>
        <v>44</v>
      </c>
      <c r="G17" s="88">
        <f>POKOJE!J9</f>
        <v>137</v>
      </c>
      <c r="H17" s="84">
        <f t="shared" si="3"/>
        <v>309</v>
      </c>
      <c r="I17" s="82" t="str">
        <f t="shared" si="0"/>
        <v>OK</v>
      </c>
    </row>
    <row r="18" spans="1:9" ht="28.9" customHeight="1">
      <c r="A18" s="135"/>
      <c r="B18" s="53" t="s">
        <v>33</v>
      </c>
      <c r="C18" s="80">
        <f>ŁÓŻKO!AH18</f>
        <v>48</v>
      </c>
      <c r="D18" s="80">
        <f>BIURKO!AH18</f>
        <v>32</v>
      </c>
      <c r="E18" s="80">
        <f>SZAFA!AH18</f>
        <v>48</v>
      </c>
      <c r="F18" s="80">
        <f>PÓŁKA!AH18</f>
        <v>44</v>
      </c>
      <c r="G18" s="88">
        <f>POKOJE!J9</f>
        <v>137</v>
      </c>
      <c r="H18" s="84">
        <f t="shared" si="3"/>
        <v>309</v>
      </c>
      <c r="I18" s="82" t="str">
        <f t="shared" si="0"/>
        <v>OK</v>
      </c>
    </row>
    <row r="19" spans="1:9" ht="28.9" customHeight="1">
      <c r="A19" s="136"/>
      <c r="B19" s="53" t="s">
        <v>34</v>
      </c>
      <c r="C19" s="80">
        <f>ŁÓŻKO!AH19</f>
        <v>40</v>
      </c>
      <c r="D19" s="80">
        <f>BIURKO!AH19</f>
        <v>32</v>
      </c>
      <c r="E19" s="80">
        <f>SZAFA!AH19</f>
        <v>48</v>
      </c>
      <c r="F19" s="80">
        <f>PÓŁKA!AH19</f>
        <v>44</v>
      </c>
      <c r="G19" s="88">
        <f>POKOJE!J9</f>
        <v>137</v>
      </c>
      <c r="H19" s="84">
        <f t="shared" si="3"/>
        <v>301</v>
      </c>
      <c r="I19" s="82" t="str">
        <f t="shared" si="0"/>
        <v>OK</v>
      </c>
    </row>
    <row r="20" spans="1:9" ht="28.9" customHeight="1">
      <c r="A20" s="127">
        <f>POKOJE!A10</f>
        <v>326</v>
      </c>
      <c r="B20" s="63" t="s">
        <v>36</v>
      </c>
      <c r="C20" s="83">
        <f>ŁÓŻKO!AH20</f>
        <v>48</v>
      </c>
      <c r="D20" s="83">
        <f>BIURKO!AH20</f>
        <v>48</v>
      </c>
      <c r="E20" s="83">
        <f>SZAFA!AH20</f>
        <v>48</v>
      </c>
      <c r="F20" s="83">
        <f>PÓŁKA!AH20</f>
        <v>48</v>
      </c>
      <c r="G20" s="86">
        <f>POKOJE!J10</f>
        <v>144</v>
      </c>
      <c r="H20" s="85">
        <f t="shared" si="3"/>
        <v>336</v>
      </c>
      <c r="I20" s="82" t="str">
        <f t="shared" si="0"/>
        <v>OK</v>
      </c>
    </row>
    <row r="21" spans="1:9" ht="28.9" customHeight="1">
      <c r="A21" s="133"/>
      <c r="B21" s="63" t="s">
        <v>37</v>
      </c>
      <c r="C21" s="83">
        <f>ŁÓŻKO!AH21</f>
        <v>48</v>
      </c>
      <c r="D21" s="83">
        <f>BIURKO!AH21</f>
        <v>48</v>
      </c>
      <c r="E21" s="83">
        <f>SZAFA!AH21</f>
        <v>48</v>
      </c>
      <c r="F21" s="83">
        <f>PÓŁKA!AH21</f>
        <v>48</v>
      </c>
      <c r="G21" s="86">
        <f>POKOJE!J10</f>
        <v>144</v>
      </c>
      <c r="H21" s="85">
        <f t="shared" si="3"/>
        <v>336</v>
      </c>
      <c r="I21" s="82" t="str">
        <f t="shared" si="0"/>
        <v>OK</v>
      </c>
    </row>
    <row r="22" spans="1:9" ht="28.9" customHeight="1">
      <c r="A22" s="128"/>
      <c r="B22" s="63" t="s">
        <v>35</v>
      </c>
      <c r="C22" s="83">
        <f>ŁÓŻKO!AH22</f>
        <v>48</v>
      </c>
      <c r="D22" s="83">
        <f>BIURKO!AH22</f>
        <v>48</v>
      </c>
      <c r="E22" s="83">
        <f>SZAFA!AH22</f>
        <v>48</v>
      </c>
      <c r="F22" s="83">
        <f>PÓŁKA!AH22</f>
        <v>48</v>
      </c>
      <c r="G22" s="86">
        <f>POKOJE!J10</f>
        <v>144</v>
      </c>
      <c r="H22" s="85">
        <f t="shared" si="3"/>
        <v>336</v>
      </c>
      <c r="I22" s="82" t="str">
        <f t="shared" si="0"/>
        <v>OK</v>
      </c>
    </row>
    <row r="23" spans="1:9" ht="28.9" customHeight="1">
      <c r="A23" s="134">
        <f>POKOJE!A11</f>
        <v>328</v>
      </c>
      <c r="B23" s="53" t="s">
        <v>40</v>
      </c>
      <c r="C23" s="80">
        <f>ŁÓŻKO!AH23</f>
        <v>40</v>
      </c>
      <c r="D23" s="80">
        <f>BIURKO!AH23</f>
        <v>32</v>
      </c>
      <c r="E23" s="80">
        <f>SZAFA!AH23</f>
        <v>48</v>
      </c>
      <c r="F23" s="80">
        <f>PÓŁKA!AH23</f>
        <v>32</v>
      </c>
      <c r="G23" s="88">
        <f>POKOJE!J11</f>
        <v>141</v>
      </c>
      <c r="H23" s="84">
        <f t="shared" si="3"/>
        <v>293</v>
      </c>
      <c r="I23" s="82" t="str">
        <f t="shared" si="0"/>
        <v>UWAGA!!!</v>
      </c>
    </row>
    <row r="24" spans="1:9" ht="28.9" customHeight="1">
      <c r="A24" s="135"/>
      <c r="B24" s="53" t="s">
        <v>38</v>
      </c>
      <c r="C24" s="80">
        <f>ŁÓŻKO!AH24</f>
        <v>40</v>
      </c>
      <c r="D24" s="80">
        <f>BIURKO!AH24</f>
        <v>32</v>
      </c>
      <c r="E24" s="80">
        <f>SZAFA!AH24</f>
        <v>48</v>
      </c>
      <c r="F24" s="80">
        <f>PÓŁKA!AH24</f>
        <v>32</v>
      </c>
      <c r="G24" s="88">
        <f>POKOJE!J11</f>
        <v>141</v>
      </c>
      <c r="H24" s="84">
        <f>SUM(C24:G24)</f>
        <v>293</v>
      </c>
      <c r="I24" s="82" t="str">
        <f t="shared" si="0"/>
        <v>UWAGA!!!</v>
      </c>
    </row>
    <row r="25" spans="1:9" ht="28.9" customHeight="1">
      <c r="A25" s="136"/>
      <c r="B25" s="53" t="s">
        <v>39</v>
      </c>
      <c r="C25" s="80">
        <f>ŁÓŻKO!AH25</f>
        <v>40</v>
      </c>
      <c r="D25" s="80">
        <f>BIURKO!AH25</f>
        <v>32</v>
      </c>
      <c r="E25" s="80">
        <f>SZAFA!AH25</f>
        <v>48</v>
      </c>
      <c r="F25" s="80">
        <f>PÓŁKA!AH25</f>
        <v>32</v>
      </c>
      <c r="G25" s="88">
        <f>POKOJE!J11</f>
        <v>141</v>
      </c>
      <c r="H25" s="84">
        <f>SUM(C25:G25)</f>
        <v>293</v>
      </c>
      <c r="I25" s="82" t="str">
        <f t="shared" si="0"/>
        <v>UWAGA!!!</v>
      </c>
    </row>
    <row r="26" spans="1:9" ht="28.9" customHeight="1">
      <c r="A26" s="127">
        <f>POKOJE!A12</f>
        <v>329</v>
      </c>
      <c r="B26" s="63" t="s">
        <v>41</v>
      </c>
      <c r="C26" s="83">
        <f>ŁÓŻKO!AH26</f>
        <v>48</v>
      </c>
      <c r="D26" s="83">
        <f>BIURKO!AH26</f>
        <v>48</v>
      </c>
      <c r="E26" s="83">
        <f>SZAFA!AH26</f>
        <v>47</v>
      </c>
      <c r="F26" s="83">
        <f>PÓŁKA!AH26</f>
        <v>48</v>
      </c>
      <c r="G26" s="86">
        <f>POKOJE!J12</f>
        <v>138</v>
      </c>
      <c r="H26" s="85">
        <f t="shared" si="3"/>
        <v>329</v>
      </c>
      <c r="I26" s="82" t="str">
        <f t="shared" si="0"/>
        <v>OK</v>
      </c>
    </row>
    <row r="27" spans="1:9" ht="28.9" customHeight="1">
      <c r="A27" s="133"/>
      <c r="B27" s="63" t="s">
        <v>42</v>
      </c>
      <c r="C27" s="83">
        <f>ŁÓŻKO!AH27</f>
        <v>48</v>
      </c>
      <c r="D27" s="83">
        <f>BIURKO!AH27</f>
        <v>48</v>
      </c>
      <c r="E27" s="83">
        <f>SZAFA!AH27</f>
        <v>47</v>
      </c>
      <c r="F27" s="83">
        <f>PÓŁKA!AH27</f>
        <v>48</v>
      </c>
      <c r="G27" s="86">
        <f>POKOJE!J12</f>
        <v>138</v>
      </c>
      <c r="H27" s="85">
        <f t="shared" si="3"/>
        <v>329</v>
      </c>
      <c r="I27" s="82" t="str">
        <f t="shared" si="0"/>
        <v>OK</v>
      </c>
    </row>
    <row r="28" spans="1:9" ht="28.9" customHeight="1">
      <c r="A28" s="128"/>
      <c r="B28" s="63" t="s">
        <v>44</v>
      </c>
      <c r="C28" s="83">
        <f>ŁÓŻKO!AH28</f>
        <v>48</v>
      </c>
      <c r="D28" s="83">
        <f>BIURKO!AH28</f>
        <v>48</v>
      </c>
      <c r="E28" s="83">
        <f>SZAFA!AH28</f>
        <v>47</v>
      </c>
      <c r="F28" s="83">
        <f>PÓŁKA!AH28</f>
        <v>48</v>
      </c>
      <c r="G28" s="86">
        <f>POKOJE!J12</f>
        <v>138</v>
      </c>
      <c r="H28" s="85">
        <f t="shared" si="3"/>
        <v>329</v>
      </c>
      <c r="I28" s="82" t="str">
        <f t="shared" si="0"/>
        <v>OK</v>
      </c>
    </row>
    <row r="29" spans="1:9" ht="28.9" customHeight="1">
      <c r="A29" s="122">
        <f>POKOJE!A13</f>
        <v>330</v>
      </c>
      <c r="B29" s="142" t="s">
        <v>43</v>
      </c>
      <c r="C29" s="80">
        <f>ŁÓŻKO!AH29</f>
        <v>48</v>
      </c>
      <c r="D29" s="80">
        <f>BIURKO!AH29</f>
        <v>48</v>
      </c>
      <c r="E29" s="80">
        <f>SZAFA!AH29</f>
        <v>48</v>
      </c>
      <c r="F29" s="80">
        <f>PÓŁKA!AH29</f>
        <v>48</v>
      </c>
      <c r="G29" s="88">
        <f>POKOJE!J13</f>
        <v>143</v>
      </c>
      <c r="H29" s="84">
        <f t="shared" si="3"/>
        <v>335</v>
      </c>
      <c r="I29" s="82" t="str">
        <f t="shared" si="0"/>
        <v>OK</v>
      </c>
    </row>
    <row r="30" spans="1:9" ht="28.9" customHeight="1">
      <c r="A30" s="123"/>
      <c r="B30" s="53" t="s">
        <v>45</v>
      </c>
      <c r="C30" s="80">
        <f>ŁÓŻKO!AH30</f>
        <v>40</v>
      </c>
      <c r="D30" s="80">
        <f>BIURKO!AH30</f>
        <v>44</v>
      </c>
      <c r="E30" s="80">
        <f>SZAFA!AH30</f>
        <v>48</v>
      </c>
      <c r="F30" s="80">
        <f>PÓŁKA!AH30</f>
        <v>48</v>
      </c>
      <c r="G30" s="88">
        <f>POKOJE!J13</f>
        <v>143</v>
      </c>
      <c r="H30" s="84">
        <f t="shared" si="3"/>
        <v>323</v>
      </c>
      <c r="I30" s="82" t="str">
        <f t="shared" si="0"/>
        <v>OK</v>
      </c>
    </row>
    <row r="31" spans="1:9" ht="28.9" customHeight="1">
      <c r="A31" s="127">
        <f>POKOJE!A14</f>
        <v>331</v>
      </c>
      <c r="B31" s="63" t="s">
        <v>14</v>
      </c>
      <c r="C31" s="83">
        <f>ŁÓŻKO!AH31</f>
        <v>48</v>
      </c>
      <c r="D31" s="83">
        <f>BIURKO!AH31</f>
        <v>44</v>
      </c>
      <c r="E31" s="83">
        <f>SZAFA!AH31</f>
        <v>48</v>
      </c>
      <c r="F31" s="83">
        <f>PÓŁKA!AH31</f>
        <v>48</v>
      </c>
      <c r="G31" s="86">
        <f>POKOJE!J14</f>
        <v>144</v>
      </c>
      <c r="H31" s="85">
        <f>SUM(C31:G31)</f>
        <v>332</v>
      </c>
      <c r="I31" s="82" t="str">
        <f t="shared" si="0"/>
        <v>OK</v>
      </c>
    </row>
    <row r="32" spans="1:9" ht="28.9" customHeight="1">
      <c r="A32" s="128"/>
      <c r="B32" s="63" t="s">
        <v>15</v>
      </c>
      <c r="C32" s="83">
        <f>ŁÓŻKO!AH32</f>
        <v>48</v>
      </c>
      <c r="D32" s="83">
        <f>BIURKO!AH32</f>
        <v>48</v>
      </c>
      <c r="E32" s="83">
        <f>SZAFA!AH32</f>
        <v>48</v>
      </c>
      <c r="F32" s="83">
        <f>PÓŁKA!AH32</f>
        <v>48</v>
      </c>
      <c r="G32" s="86">
        <f>POKOJE!J14</f>
        <v>144</v>
      </c>
      <c r="H32" s="85">
        <f>SUM(C32:G32)</f>
        <v>336</v>
      </c>
      <c r="I32" s="82" t="str">
        <f t="shared" si="0"/>
        <v>OK</v>
      </c>
    </row>
    <row r="33" spans="1:9" ht="28.9" customHeight="1">
      <c r="A33" s="122">
        <f>POKOJE!A15</f>
        <v>332</v>
      </c>
      <c r="B33" s="53" t="s">
        <v>46</v>
      </c>
      <c r="C33" s="80">
        <f>ŁÓŻKO!AH33</f>
        <v>24</v>
      </c>
      <c r="D33" s="80">
        <f>BIURKO!AH33</f>
        <v>24</v>
      </c>
      <c r="E33" s="80">
        <f>SZAFA!AH33</f>
        <v>28</v>
      </c>
      <c r="F33" s="80">
        <f>PÓŁKA!AH33</f>
        <v>32</v>
      </c>
      <c r="G33" s="88">
        <f>POKOJE!J15</f>
        <v>134</v>
      </c>
      <c r="H33" s="72">
        <f>IF(SUM(C33:G33)&gt;100, SUM(C33:G33)*1.1, SUM(C33:G33))</f>
        <v>266.20000000000005</v>
      </c>
      <c r="I33" s="82" t="str">
        <f>IF(H34&gt;=300,"I TAK ZAWIODŁEŚ","ZAWIODŁEŚ!!!")</f>
        <v>ZAWIODŁEŚ!!!</v>
      </c>
    </row>
    <row r="34" spans="1:9" ht="28.9" customHeight="1">
      <c r="A34" s="123"/>
      <c r="B34" s="53" t="s">
        <v>47</v>
      </c>
      <c r="C34" s="80">
        <f>ŁÓŻKO!AH34</f>
        <v>24</v>
      </c>
      <c r="D34" s="80">
        <f>BIURKO!AH34</f>
        <v>24</v>
      </c>
      <c r="E34" s="80">
        <f>SZAFA!AH34</f>
        <v>24</v>
      </c>
      <c r="F34" s="80">
        <f>PÓŁKA!AH34</f>
        <v>32</v>
      </c>
      <c r="G34" s="88">
        <f>POKOJE!J15</f>
        <v>134</v>
      </c>
      <c r="H34" s="72">
        <f>IF(SUM(C34:G34)&gt;100, SUM(C34:G34)*1.1, SUM(C34:G34))</f>
        <v>261.8</v>
      </c>
      <c r="I34" s="82" t="str">
        <f>IF(H34&gt;=300,"I TAK ZAWIODŁEŚ","ZAWIODŁEŚ!!!")</f>
        <v>ZAWIODŁEŚ!!!</v>
      </c>
    </row>
    <row r="35" spans="1:9" ht="28.9" customHeight="1">
      <c r="A35" s="125">
        <f>POKOJE!A16</f>
        <v>333</v>
      </c>
      <c r="B35" s="63" t="s">
        <v>48</v>
      </c>
      <c r="C35" s="83">
        <f>ŁÓŻKO!AH35</f>
        <v>48</v>
      </c>
      <c r="D35" s="83">
        <f>BIURKO!AH35</f>
        <v>48</v>
      </c>
      <c r="E35" s="83">
        <f>SZAFA!AH35</f>
        <v>48</v>
      </c>
      <c r="F35" s="83">
        <f>PÓŁKA!AH35</f>
        <v>48</v>
      </c>
      <c r="G35" s="86">
        <f>POKOJE!J16</f>
        <v>132</v>
      </c>
      <c r="H35" s="85">
        <f t="shared" ref="H35" si="4">SUM(C35:G35)</f>
        <v>324</v>
      </c>
      <c r="I35" s="82" t="str">
        <f t="shared" ref="I35:I36" si="5">IF(H35&gt;=300,"OK","UWAGA!!!")</f>
        <v>OK</v>
      </c>
    </row>
    <row r="36" spans="1:9" ht="28.9" customHeight="1">
      <c r="A36" s="126"/>
      <c r="B36" s="63" t="s">
        <v>50</v>
      </c>
      <c r="C36" s="83">
        <f>ŁÓŻKO!AH36</f>
        <v>24</v>
      </c>
      <c r="D36" s="83">
        <f>BIURKO!AH36</f>
        <v>32</v>
      </c>
      <c r="E36" s="83">
        <f>SZAFA!AH36</f>
        <v>48</v>
      </c>
      <c r="F36" s="83">
        <f>PÓŁKA!AH36</f>
        <v>48</v>
      </c>
      <c r="G36" s="86">
        <f>POKOJE!J16</f>
        <v>132</v>
      </c>
      <c r="H36" s="85">
        <f>SUM(C36:G36)</f>
        <v>284</v>
      </c>
      <c r="I36" s="82" t="str">
        <f t="shared" si="5"/>
        <v>UWAGA!!!</v>
      </c>
    </row>
    <row r="37" spans="1:9" ht="28.9" customHeight="1">
      <c r="A37" s="122">
        <f>POKOJE!A17</f>
        <v>334</v>
      </c>
      <c r="B37" s="53" t="s">
        <v>49</v>
      </c>
      <c r="C37" s="80">
        <f>ŁÓŻKO!AH37</f>
        <v>16</v>
      </c>
      <c r="D37" s="80">
        <f>BIURKO!AH37</f>
        <v>32</v>
      </c>
      <c r="E37" s="80">
        <f>SZAFA!AH37</f>
        <v>48</v>
      </c>
      <c r="F37" s="80">
        <f>PÓŁKA!AH37</f>
        <v>48</v>
      </c>
      <c r="G37" s="88">
        <f>POKOJE!J17</f>
        <v>126</v>
      </c>
      <c r="H37" s="84">
        <f>SUM(C37:G37)</f>
        <v>270</v>
      </c>
      <c r="I37" s="82" t="str">
        <f>IF(H37&gt;=300,"OK","UWAGA!!!")</f>
        <v>UWAGA!!!</v>
      </c>
    </row>
    <row r="38" spans="1:9" ht="28.9" customHeight="1">
      <c r="A38" s="124"/>
      <c r="B38" s="53" t="s">
        <v>51</v>
      </c>
      <c r="C38" s="80">
        <f>ŁÓŻKO!AH38</f>
        <v>16</v>
      </c>
      <c r="D38" s="80">
        <f>BIURKO!AH38</f>
        <v>16</v>
      </c>
      <c r="E38" s="80">
        <f>SZAFA!AH38</f>
        <v>32</v>
      </c>
      <c r="F38" s="80">
        <f>PÓŁKA!AH38</f>
        <v>32</v>
      </c>
      <c r="G38" s="88">
        <f>POKOJE!J17</f>
        <v>126</v>
      </c>
      <c r="H38" s="84">
        <f>SUM(C38:G38)</f>
        <v>222</v>
      </c>
      <c r="I38" s="82" t="str">
        <f t="shared" si="0"/>
        <v>UWAGA!!!</v>
      </c>
    </row>
    <row r="39" spans="1:9" ht="28.9" customHeight="1">
      <c r="A39" s="123"/>
      <c r="B39" s="53" t="s">
        <v>52</v>
      </c>
      <c r="C39" s="80">
        <f>ŁÓŻKO!AH39</f>
        <v>48</v>
      </c>
      <c r="D39" s="80">
        <f>BIURKO!AH39</f>
        <v>0</v>
      </c>
      <c r="E39" s="80">
        <f>SZAFA!AH39</f>
        <v>16</v>
      </c>
      <c r="F39" s="80">
        <f>PÓŁKA!AH39</f>
        <v>16</v>
      </c>
      <c r="G39" s="88">
        <f>POKOJE!J17</f>
        <v>126</v>
      </c>
      <c r="H39" s="84">
        <f t="shared" ref="H39" si="6">SUM(C39:G39)</f>
        <v>206</v>
      </c>
      <c r="I39" s="82" t="str">
        <f t="shared" si="0"/>
        <v>UWAGA!!!</v>
      </c>
    </row>
  </sheetData>
  <sheetProtection sheet="1" formatCells="0" formatColumns="0" formatRows="0" insertColumns="0" insertRows="0" insertHyperlinks="0" deleteColumns="0" deleteRows="0" selectLockedCells="1" sort="0" autoFilter="0" pivotTables="0"/>
  <mergeCells count="16">
    <mergeCell ref="A33:A34"/>
    <mergeCell ref="A37:A39"/>
    <mergeCell ref="A35:A36"/>
    <mergeCell ref="A11:A12"/>
    <mergeCell ref="E1:F1"/>
    <mergeCell ref="A3:A4"/>
    <mergeCell ref="A5:A6"/>
    <mergeCell ref="A7:A10"/>
    <mergeCell ref="A15:A16"/>
    <mergeCell ref="A31:A32"/>
    <mergeCell ref="A20:A22"/>
    <mergeCell ref="A26:A28"/>
    <mergeCell ref="A13:A14"/>
    <mergeCell ref="A17:A19"/>
    <mergeCell ref="A23:A25"/>
    <mergeCell ref="A29:A30"/>
  </mergeCells>
  <pageMargins left="0.7" right="0.7" top="0.75" bottom="0.75" header="0.51180555555555496" footer="0.51180555555555496"/>
  <pageSetup paperSize="9" scale="57" firstPageNumber="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>
    <pageSetUpPr fitToPage="1"/>
  </sheetPr>
  <dimension ref="A1:J17"/>
  <sheetViews>
    <sheetView topLeftCell="A3" workbookViewId="0">
      <selection activeCell="E11" sqref="E11"/>
    </sheetView>
  </sheetViews>
  <sheetFormatPr defaultRowHeight="14.25"/>
  <cols>
    <col min="1" max="1" width="7.625" bestFit="1" customWidth="1"/>
    <col min="2" max="9" width="12.625"/>
    <col min="10" max="10" width="13"/>
  </cols>
  <sheetData>
    <row r="1" spans="1:10" ht="21.95" customHeight="1">
      <c r="A1" s="137" t="str">
        <f>T(INDYWIDUAL!B1)</f>
        <v>wrzesień</v>
      </c>
      <c r="B1" s="137"/>
      <c r="C1" s="137"/>
      <c r="D1" s="138" t="s">
        <v>11</v>
      </c>
      <c r="E1" s="138"/>
      <c r="F1" s="138" t="s">
        <v>12</v>
      </c>
      <c r="G1" s="138"/>
      <c r="H1" s="47"/>
      <c r="I1" s="1"/>
    </row>
    <row r="2" spans="1:10" ht="21.95" customHeight="1">
      <c r="A2" s="3" t="s">
        <v>1</v>
      </c>
      <c r="B2" s="5" t="s">
        <v>6</v>
      </c>
      <c r="C2" s="5" t="s">
        <v>7</v>
      </c>
      <c r="D2" s="5" t="s">
        <v>0</v>
      </c>
      <c r="E2" s="5" t="s">
        <v>5</v>
      </c>
      <c r="F2" s="5" t="s">
        <v>8</v>
      </c>
      <c r="G2" s="5" t="s">
        <v>9</v>
      </c>
      <c r="H2" s="5" t="s">
        <v>10</v>
      </c>
      <c r="I2" s="6" t="s">
        <v>3</v>
      </c>
      <c r="J2" s="5" t="s">
        <v>13</v>
      </c>
    </row>
    <row r="3" spans="1:10" ht="20.25">
      <c r="A3" s="52">
        <v>312</v>
      </c>
      <c r="B3" s="91">
        <f>ŁÓŻKO!AJ3</f>
        <v>36</v>
      </c>
      <c r="C3" s="91">
        <f>BIURKO!AJ3</f>
        <v>40</v>
      </c>
      <c r="D3" s="91">
        <f>SZAFA!AJ3</f>
        <v>40</v>
      </c>
      <c r="E3" s="91">
        <f>PÓŁKA!AJ3</f>
        <v>40</v>
      </c>
      <c r="F3" s="91">
        <f>PODŁOGA!AG3</f>
        <v>46</v>
      </c>
      <c r="G3" s="91">
        <f>KOSZ!AG3</f>
        <v>48</v>
      </c>
      <c r="H3" s="91">
        <f>PARAPET!AG3</f>
        <v>47</v>
      </c>
      <c r="I3" s="42">
        <f t="shared" ref="I3:I5" si="0">SUM(B3:H3)</f>
        <v>297</v>
      </c>
      <c r="J3" s="49">
        <f t="shared" ref="J3" si="1">F3+G3+H3</f>
        <v>141</v>
      </c>
    </row>
    <row r="4" spans="1:10" ht="20.25">
      <c r="A4" s="48">
        <v>313</v>
      </c>
      <c r="B4" s="92">
        <f>ŁÓŻKO!AJ5</f>
        <v>24</v>
      </c>
      <c r="C4" s="92">
        <f>BIURKO!AJ5</f>
        <v>26</v>
      </c>
      <c r="D4" s="92">
        <f>SZAFA!AJ5</f>
        <v>34</v>
      </c>
      <c r="E4" s="92">
        <f>PÓŁKA!AJ5</f>
        <v>32</v>
      </c>
      <c r="F4" s="92">
        <f>PODŁOGA!AG4</f>
        <v>48</v>
      </c>
      <c r="G4" s="92">
        <f>KOSZ!AG4</f>
        <v>46</v>
      </c>
      <c r="H4" s="92">
        <f>PARAPET!AG4</f>
        <v>37</v>
      </c>
      <c r="I4" s="32">
        <f t="shared" si="0"/>
        <v>247</v>
      </c>
      <c r="J4" s="49">
        <f t="shared" ref="J4:J17" si="2">F4+G4+H4</f>
        <v>131</v>
      </c>
    </row>
    <row r="5" spans="1:10" ht="20.25">
      <c r="A5" s="31">
        <v>319</v>
      </c>
      <c r="B5" s="93">
        <f>ŁÓŻKO!AJ7</f>
        <v>42</v>
      </c>
      <c r="C5" s="93">
        <f>BIURKO!AJ7</f>
        <v>44</v>
      </c>
      <c r="D5" s="93">
        <f>SZAFA!AJ7</f>
        <v>32</v>
      </c>
      <c r="E5" s="93">
        <f>PÓŁKA!AJ7</f>
        <v>32</v>
      </c>
      <c r="F5" s="93">
        <f>PODŁOGA!AG5</f>
        <v>42</v>
      </c>
      <c r="G5" s="93">
        <f>KOSZ!AG5</f>
        <v>34</v>
      </c>
      <c r="H5" s="93">
        <f>PARAPET!AG5</f>
        <v>48</v>
      </c>
      <c r="I5" s="34">
        <f t="shared" si="0"/>
        <v>274</v>
      </c>
      <c r="J5" s="49">
        <f t="shared" si="2"/>
        <v>124</v>
      </c>
    </row>
    <row r="6" spans="1:10" ht="20.25">
      <c r="A6" s="50">
        <v>320</v>
      </c>
      <c r="B6" s="89">
        <f>ŁÓŻKO!AJ11</f>
        <v>36.5</v>
      </c>
      <c r="C6" s="89">
        <f>BIURKO!AJ11</f>
        <v>48</v>
      </c>
      <c r="D6" s="89">
        <f>SZAFA!AJ11</f>
        <v>48</v>
      </c>
      <c r="E6" s="89">
        <f>PÓŁKA!AJ11</f>
        <v>48</v>
      </c>
      <c r="F6" s="89">
        <f>PODŁOGA!AG6</f>
        <v>44</v>
      </c>
      <c r="G6" s="89">
        <f>KOSZ!AG6</f>
        <v>46</v>
      </c>
      <c r="H6" s="89">
        <f>PARAPET!AG6</f>
        <v>48</v>
      </c>
      <c r="I6" s="36">
        <f>SUM(B6:H6)</f>
        <v>318.5</v>
      </c>
      <c r="J6" s="49">
        <f t="shared" si="2"/>
        <v>138</v>
      </c>
    </row>
    <row r="7" spans="1:10" ht="20.25">
      <c r="A7" s="52">
        <v>321</v>
      </c>
      <c r="B7" s="91">
        <f>ŁÓŻKO!AJ13</f>
        <v>26</v>
      </c>
      <c r="C7" s="91">
        <f>BIURKO!AJ13</f>
        <v>24</v>
      </c>
      <c r="D7" s="91">
        <f>SZAFA!AJ13</f>
        <v>8</v>
      </c>
      <c r="E7" s="91">
        <f>PÓŁKA!AJ13</f>
        <v>13</v>
      </c>
      <c r="F7" s="91">
        <f>PODŁOGA!AG7</f>
        <v>47</v>
      </c>
      <c r="G7" s="91">
        <f>KOSZ!AG7</f>
        <v>46</v>
      </c>
      <c r="H7" s="91">
        <f>PARAPET!AG7</f>
        <v>48</v>
      </c>
      <c r="I7" s="42">
        <f t="shared" ref="I7:I17" si="3">SUM(B7:H7)</f>
        <v>212</v>
      </c>
      <c r="J7" s="49">
        <f t="shared" si="2"/>
        <v>141</v>
      </c>
    </row>
    <row r="8" spans="1:10" ht="20.25">
      <c r="A8" s="48">
        <f>PODŁOGA!A8</f>
        <v>322</v>
      </c>
      <c r="B8" s="92">
        <f>ŁÓŻKO!AJ15</f>
        <v>25</v>
      </c>
      <c r="C8" s="92">
        <f>BIURKO!AJ15</f>
        <v>16</v>
      </c>
      <c r="D8" s="92">
        <f>SZAFA!AJ15</f>
        <v>32</v>
      </c>
      <c r="E8" s="92">
        <f>PÓŁKA!AJ15</f>
        <v>28</v>
      </c>
      <c r="F8" s="92">
        <f>PODŁOGA!AG8</f>
        <v>48</v>
      </c>
      <c r="G8" s="92">
        <f>KOSZ!AG8</f>
        <v>42</v>
      </c>
      <c r="H8" s="92">
        <f>PARAPET!AG8</f>
        <v>48</v>
      </c>
      <c r="I8" s="32">
        <f t="shared" si="3"/>
        <v>239</v>
      </c>
      <c r="J8" s="49">
        <f t="shared" si="2"/>
        <v>138</v>
      </c>
    </row>
    <row r="9" spans="1:10" ht="20.25">
      <c r="A9" s="51">
        <v>323</v>
      </c>
      <c r="B9" s="95">
        <f>ŁÓŻKO!AJ17</f>
        <v>45.333333333333336</v>
      </c>
      <c r="C9" s="95">
        <f>BIURKO!AJ17</f>
        <v>32</v>
      </c>
      <c r="D9" s="95">
        <f>SZAFA!AJ17</f>
        <v>48</v>
      </c>
      <c r="E9" s="95">
        <f>PÓŁKA!AJ17</f>
        <v>44</v>
      </c>
      <c r="F9" s="95">
        <f>PODŁOGA!AG9</f>
        <v>48</v>
      </c>
      <c r="G9" s="95">
        <f>KOSZ!AG9</f>
        <v>48</v>
      </c>
      <c r="H9" s="95">
        <f>PARAPET!AG9</f>
        <v>41</v>
      </c>
      <c r="I9" s="39">
        <f>SUM(B9:H9)</f>
        <v>306.33333333333337</v>
      </c>
      <c r="J9" s="49">
        <f t="shared" si="2"/>
        <v>137</v>
      </c>
    </row>
    <row r="10" spans="1:10" ht="20.25">
      <c r="A10" s="52">
        <f>PODŁOGA!A10</f>
        <v>326</v>
      </c>
      <c r="B10" s="91">
        <f>ŁÓŻKO!AJ20</f>
        <v>48</v>
      </c>
      <c r="C10" s="91">
        <f>BIURKO!AJ20</f>
        <v>48</v>
      </c>
      <c r="D10" s="91">
        <f>SZAFA!AJ20</f>
        <v>48</v>
      </c>
      <c r="E10" s="91">
        <f>PÓŁKA!AJ20</f>
        <v>48</v>
      </c>
      <c r="F10" s="91">
        <f>PODŁOGA!AG10</f>
        <v>48</v>
      </c>
      <c r="G10" s="91">
        <f>KOSZ!AG10</f>
        <v>48</v>
      </c>
      <c r="H10" s="91">
        <f>PARAPET!AG10</f>
        <v>48</v>
      </c>
      <c r="I10" s="42">
        <f t="shared" si="3"/>
        <v>336</v>
      </c>
      <c r="J10" s="49">
        <f t="shared" si="2"/>
        <v>144</v>
      </c>
    </row>
    <row r="11" spans="1:10" ht="20.25">
      <c r="A11" s="48">
        <f>PODŁOGA!A11</f>
        <v>328</v>
      </c>
      <c r="B11" s="92">
        <f>ŁÓŻKO!AJ23</f>
        <v>40</v>
      </c>
      <c r="C11" s="92">
        <f>BIURKO!AJ23</f>
        <v>32</v>
      </c>
      <c r="D11" s="92">
        <f>SZAFA!AJ23</f>
        <v>48</v>
      </c>
      <c r="E11" s="92">
        <f>PÓŁKA!AJ23</f>
        <v>32</v>
      </c>
      <c r="F11" s="92">
        <f>PODŁOGA!AG11</f>
        <v>48</v>
      </c>
      <c r="G11" s="92">
        <f>KOSZ!AG11</f>
        <v>48</v>
      </c>
      <c r="H11" s="92">
        <f>PARAPET!AG11</f>
        <v>45</v>
      </c>
      <c r="I11" s="32">
        <f t="shared" si="3"/>
        <v>293</v>
      </c>
      <c r="J11" s="49">
        <f t="shared" si="2"/>
        <v>141</v>
      </c>
    </row>
    <row r="12" spans="1:10" ht="20.25">
      <c r="A12" s="31">
        <f>PODŁOGA!A12</f>
        <v>329</v>
      </c>
      <c r="B12" s="93">
        <f>ŁÓŻKO!AJ26</f>
        <v>48</v>
      </c>
      <c r="C12" s="93">
        <f>BIURKO!AJ26</f>
        <v>48</v>
      </c>
      <c r="D12" s="93">
        <f>SZAFA!AJ26</f>
        <v>47</v>
      </c>
      <c r="E12" s="93">
        <f>PÓŁKA!AJ26</f>
        <v>48</v>
      </c>
      <c r="F12" s="93">
        <f>PODŁOGA!AG12</f>
        <v>48</v>
      </c>
      <c r="G12" s="93">
        <f>KOSZ!AG12</f>
        <v>42</v>
      </c>
      <c r="H12" s="93">
        <f>PARAPET!AG12</f>
        <v>48</v>
      </c>
      <c r="I12" s="34">
        <f t="shared" si="3"/>
        <v>329</v>
      </c>
      <c r="J12" s="49">
        <f t="shared" si="2"/>
        <v>138</v>
      </c>
    </row>
    <row r="13" spans="1:10" ht="20.25">
      <c r="A13" s="50">
        <f>PODŁOGA!A13</f>
        <v>330</v>
      </c>
      <c r="B13" s="89">
        <f>ŁÓŻKO!AJ29</f>
        <v>44</v>
      </c>
      <c r="C13" s="89">
        <f>BIURKO!AJ29</f>
        <v>46</v>
      </c>
      <c r="D13" s="89">
        <f>SZAFA!AJ29</f>
        <v>48</v>
      </c>
      <c r="E13" s="89">
        <f>PÓŁKA!AJ29</f>
        <v>48</v>
      </c>
      <c r="F13" s="89">
        <f>PODŁOGA!AG13</f>
        <v>48</v>
      </c>
      <c r="G13" s="89">
        <f>KOSZ!AG13</f>
        <v>47</v>
      </c>
      <c r="H13" s="89">
        <f>PARAPET!AG13</f>
        <v>48</v>
      </c>
      <c r="I13" s="36">
        <f t="shared" si="3"/>
        <v>329</v>
      </c>
      <c r="J13" s="49">
        <f t="shared" si="2"/>
        <v>143</v>
      </c>
    </row>
    <row r="14" spans="1:10" ht="20.25">
      <c r="A14" s="51">
        <f>PODŁOGA!A14</f>
        <v>331</v>
      </c>
      <c r="B14" s="95">
        <f>ŁÓŻKO!AJ31</f>
        <v>48</v>
      </c>
      <c r="C14" s="95">
        <f>BIURKO!AJ31</f>
        <v>46</v>
      </c>
      <c r="D14" s="95">
        <f>SZAFA!AJ31</f>
        <v>48</v>
      </c>
      <c r="E14" s="95">
        <f>PÓŁKA!AJ31</f>
        <v>48</v>
      </c>
      <c r="F14" s="95">
        <f>PODŁOGA!AG14</f>
        <v>48</v>
      </c>
      <c r="G14" s="95">
        <f>KOSZ!AG14</f>
        <v>48</v>
      </c>
      <c r="H14" s="95">
        <f>PARAPET!AG14</f>
        <v>48</v>
      </c>
      <c r="I14" s="39">
        <f t="shared" si="3"/>
        <v>334</v>
      </c>
      <c r="J14" s="49">
        <f t="shared" si="2"/>
        <v>144</v>
      </c>
    </row>
    <row r="15" spans="1:10" ht="20.25">
      <c r="A15" s="52">
        <f>PODŁOGA!A15</f>
        <v>332</v>
      </c>
      <c r="B15" s="91">
        <f>ŁÓŻKO!AJ3</f>
        <v>36</v>
      </c>
      <c r="C15" s="91">
        <f>BIURKO!AJ3</f>
        <v>40</v>
      </c>
      <c r="D15" s="91">
        <f>SZAFA!AJ3</f>
        <v>40</v>
      </c>
      <c r="E15" s="91">
        <f>PÓŁKA!AJ3</f>
        <v>40</v>
      </c>
      <c r="F15" s="91">
        <f>PODŁOGA!AG15</f>
        <v>48</v>
      </c>
      <c r="G15" s="91">
        <f>KOSZ!AG15</f>
        <v>38</v>
      </c>
      <c r="H15" s="91">
        <f>PARAPET!AG15</f>
        <v>48</v>
      </c>
      <c r="I15" s="42">
        <f t="shared" si="3"/>
        <v>290</v>
      </c>
      <c r="J15" s="49">
        <f t="shared" si="2"/>
        <v>134</v>
      </c>
    </row>
    <row r="16" spans="1:10" ht="20.25">
      <c r="A16" s="48">
        <f>PODŁOGA!A16</f>
        <v>333</v>
      </c>
      <c r="B16" s="96">
        <f>ŁÓŻKO!AJ35</f>
        <v>36</v>
      </c>
      <c r="C16" s="96">
        <f>BIURKO!AJ35</f>
        <v>40</v>
      </c>
      <c r="D16" s="96">
        <f>SZAFA!AJ35</f>
        <v>48</v>
      </c>
      <c r="E16" s="96">
        <f>PÓŁKA!AJ35</f>
        <v>48</v>
      </c>
      <c r="F16" s="96">
        <f>PODŁOGA!AG16</f>
        <v>48</v>
      </c>
      <c r="G16" s="96">
        <f>KOSZ!AG16</f>
        <v>38</v>
      </c>
      <c r="H16" s="96">
        <f>PARAPET!AG16</f>
        <v>46</v>
      </c>
      <c r="I16" s="45">
        <f t="shared" si="3"/>
        <v>304</v>
      </c>
      <c r="J16" s="49">
        <f t="shared" si="2"/>
        <v>132</v>
      </c>
    </row>
    <row r="17" spans="1:10" ht="20.25">
      <c r="A17" s="31">
        <f>PODŁOGA!A17</f>
        <v>334</v>
      </c>
      <c r="B17" s="93">
        <f>ŁÓŻKO!AJ37</f>
        <v>26.666666666666668</v>
      </c>
      <c r="C17" s="93">
        <f>BIURKO!AJ37</f>
        <v>16</v>
      </c>
      <c r="D17" s="93">
        <f>SZAFA!AJ37</f>
        <v>32</v>
      </c>
      <c r="E17" s="93">
        <f>PÓŁKA!AJ37</f>
        <v>32</v>
      </c>
      <c r="F17" s="93">
        <f>PODŁOGA!AG17</f>
        <v>34</v>
      </c>
      <c r="G17" s="93">
        <f>KOSZ!AG17</f>
        <v>44</v>
      </c>
      <c r="H17" s="93">
        <f>PARAPET!AG17</f>
        <v>48</v>
      </c>
      <c r="I17" s="34">
        <f t="shared" si="3"/>
        <v>232.66666666666669</v>
      </c>
      <c r="J17" s="49">
        <f t="shared" si="2"/>
        <v>126</v>
      </c>
    </row>
  </sheetData>
  <mergeCells count="3">
    <mergeCell ref="A1:C1"/>
    <mergeCell ref="D1:E1"/>
    <mergeCell ref="F1:G1"/>
  </mergeCells>
  <pageMargins left="0.7" right="0.7" top="0.75" bottom="0.75" header="0.51180555555555496" footer="0.51180555555555496"/>
  <pageSetup paperSize="9" scale="99" firstPageNumber="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K39"/>
  <sheetViews>
    <sheetView workbookViewId="0">
      <selection activeCell="AH18" sqref="AH18"/>
    </sheetView>
  </sheetViews>
  <sheetFormatPr defaultRowHeight="14.25"/>
  <cols>
    <col min="1" max="1" width="6"/>
    <col min="2" max="2" width="33" customWidth="1"/>
    <col min="3" max="33" width="3.125"/>
    <col min="34" max="34" width="15.25"/>
    <col min="35" max="36" width="10"/>
  </cols>
  <sheetData>
    <row r="1" spans="1:36" ht="21.95" customHeight="1">
      <c r="A1" s="1"/>
      <c r="B1" s="2" t="str">
        <f>T(INDYWIDUAL!B1)</f>
        <v>wrzesień</v>
      </c>
      <c r="C1" s="1"/>
      <c r="D1" s="1"/>
      <c r="E1" s="139" t="s">
        <v>6</v>
      </c>
      <c r="F1" s="139"/>
      <c r="G1" s="139"/>
      <c r="H1" s="139"/>
      <c r="I1" s="139"/>
      <c r="J1" s="139"/>
      <c r="K1" s="139"/>
      <c r="L1" s="139"/>
      <c r="M1" s="139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</row>
    <row r="2" spans="1:36" ht="15">
      <c r="A2" s="3" t="s">
        <v>1</v>
      </c>
      <c r="B2" s="4" t="s">
        <v>2</v>
      </c>
      <c r="C2" s="5">
        <v>1</v>
      </c>
      <c r="D2" s="5">
        <v>2</v>
      </c>
      <c r="E2" s="5">
        <v>3</v>
      </c>
      <c r="F2" s="5">
        <v>4</v>
      </c>
      <c r="G2" s="5">
        <v>5</v>
      </c>
      <c r="H2" s="5">
        <v>6</v>
      </c>
      <c r="I2" s="5">
        <v>7</v>
      </c>
      <c r="J2" s="5">
        <v>8</v>
      </c>
      <c r="K2" s="5">
        <v>9</v>
      </c>
      <c r="L2" s="5">
        <v>10</v>
      </c>
      <c r="M2" s="5">
        <v>11</v>
      </c>
      <c r="N2" s="5">
        <v>12</v>
      </c>
      <c r="O2" s="5">
        <v>13</v>
      </c>
      <c r="P2" s="5">
        <v>14</v>
      </c>
      <c r="Q2" s="5">
        <v>15</v>
      </c>
      <c r="R2" s="5">
        <v>16</v>
      </c>
      <c r="S2" s="5">
        <v>17</v>
      </c>
      <c r="T2" s="5">
        <v>18</v>
      </c>
      <c r="U2" s="5">
        <v>19</v>
      </c>
      <c r="V2" s="5">
        <v>20</v>
      </c>
      <c r="W2" s="5">
        <v>21</v>
      </c>
      <c r="X2" s="5">
        <v>22</v>
      </c>
      <c r="Y2" s="5">
        <v>23</v>
      </c>
      <c r="Z2" s="5">
        <v>24</v>
      </c>
      <c r="AA2" s="5">
        <v>25</v>
      </c>
      <c r="AB2" s="5">
        <v>26</v>
      </c>
      <c r="AC2" s="5">
        <v>27</v>
      </c>
      <c r="AD2" s="5">
        <v>28</v>
      </c>
      <c r="AE2" s="5">
        <v>29</v>
      </c>
      <c r="AF2" s="5">
        <v>30</v>
      </c>
      <c r="AG2" s="5">
        <v>31</v>
      </c>
      <c r="AH2" s="6" t="s">
        <v>3</v>
      </c>
      <c r="AI2" s="1"/>
      <c r="AJ2" s="7" t="s">
        <v>4</v>
      </c>
    </row>
    <row r="3" spans="1:36" ht="20.25">
      <c r="A3" s="61">
        <v>312</v>
      </c>
      <c r="B3" s="22" t="str">
        <f>INDYWIDUAL!B3</f>
        <v>Aaron Miller</v>
      </c>
      <c r="C3" s="23"/>
      <c r="D3" s="23"/>
      <c r="E3" s="23">
        <v>2</v>
      </c>
      <c r="F3" s="23">
        <v>3</v>
      </c>
      <c r="G3" s="23">
        <v>3</v>
      </c>
      <c r="H3" s="23">
        <v>3</v>
      </c>
      <c r="I3" s="23"/>
      <c r="J3" s="23"/>
      <c r="K3" s="23"/>
      <c r="L3" s="23">
        <v>2</v>
      </c>
      <c r="M3" s="23">
        <v>2</v>
      </c>
      <c r="N3" s="23">
        <v>2</v>
      </c>
      <c r="O3" s="23">
        <v>1</v>
      </c>
      <c r="P3" s="23"/>
      <c r="Q3" s="23"/>
      <c r="R3" s="23"/>
      <c r="S3" s="23">
        <v>1</v>
      </c>
      <c r="T3" s="23">
        <v>1</v>
      </c>
      <c r="U3" s="23">
        <v>2</v>
      </c>
      <c r="V3" s="23">
        <v>1</v>
      </c>
      <c r="W3" s="23"/>
      <c r="X3" s="23"/>
      <c r="Y3" s="23"/>
      <c r="Z3" s="23">
        <v>1</v>
      </c>
      <c r="AA3" s="23">
        <v>1</v>
      </c>
      <c r="AB3" s="23">
        <v>2</v>
      </c>
      <c r="AC3" s="23">
        <v>1</v>
      </c>
      <c r="AD3" s="23"/>
      <c r="AE3" s="23"/>
      <c r="AF3" s="23"/>
      <c r="AG3" s="23"/>
      <c r="AH3" s="10">
        <f>SUM(C3:AG3)</f>
        <v>28</v>
      </c>
      <c r="AI3" s="11">
        <f>SUM(AH3:AH4)</f>
        <v>72</v>
      </c>
      <c r="AJ3" s="12">
        <f t="shared" ref="AJ3" si="0">PRODUCT(AI3/AI4)</f>
        <v>36</v>
      </c>
    </row>
    <row r="4" spans="1:36" ht="20.25">
      <c r="A4" s="61"/>
      <c r="B4" s="22" t="str">
        <f>INDYWIDUAL!B4</f>
        <v>Amanda Boyd</v>
      </c>
      <c r="C4" s="24"/>
      <c r="D4" s="24"/>
      <c r="E4" s="24">
        <v>3</v>
      </c>
      <c r="F4" s="24">
        <v>3</v>
      </c>
      <c r="G4" s="24">
        <v>3</v>
      </c>
      <c r="H4" s="24">
        <v>3</v>
      </c>
      <c r="I4" s="24"/>
      <c r="J4" s="24"/>
      <c r="K4" s="24"/>
      <c r="L4" s="24">
        <v>3</v>
      </c>
      <c r="M4" s="24">
        <v>3</v>
      </c>
      <c r="N4" s="24">
        <v>3</v>
      </c>
      <c r="O4" s="24">
        <v>3</v>
      </c>
      <c r="P4" s="24"/>
      <c r="Q4" s="24"/>
      <c r="R4" s="24"/>
      <c r="S4" s="24">
        <v>2</v>
      </c>
      <c r="T4" s="24">
        <v>3</v>
      </c>
      <c r="U4" s="24">
        <v>2</v>
      </c>
      <c r="V4" s="24">
        <v>3</v>
      </c>
      <c r="W4" s="24"/>
      <c r="X4" s="24"/>
      <c r="Y4" s="24"/>
      <c r="Z4" s="24">
        <v>2</v>
      </c>
      <c r="AA4" s="24">
        <v>3</v>
      </c>
      <c r="AB4" s="24">
        <v>2</v>
      </c>
      <c r="AC4" s="24">
        <v>3</v>
      </c>
      <c r="AD4" s="24"/>
      <c r="AE4" s="24"/>
      <c r="AF4" s="24"/>
      <c r="AG4" s="24"/>
      <c r="AH4" s="10">
        <f t="shared" ref="AH4:AH39" si="1">SUM(C4:AG4)</f>
        <v>44</v>
      </c>
      <c r="AI4" s="11">
        <f>COUNTA(B3:B4)</f>
        <v>2</v>
      </c>
      <c r="AJ4" s="13"/>
    </row>
    <row r="5" spans="1:36" ht="20.25">
      <c r="A5" s="62">
        <v>313</v>
      </c>
      <c r="B5" s="109" t="str">
        <f>INDYWIDUAL!B5</f>
        <v>Orzełowski Wojciech</v>
      </c>
      <c r="C5" s="14"/>
      <c r="D5" s="14"/>
      <c r="E5" s="14">
        <v>1</v>
      </c>
      <c r="F5" s="14">
        <v>2</v>
      </c>
      <c r="G5" s="14">
        <v>2</v>
      </c>
      <c r="H5" s="14">
        <v>2</v>
      </c>
      <c r="I5" s="14"/>
      <c r="J5" s="14"/>
      <c r="K5" s="14"/>
      <c r="L5" s="14">
        <v>1</v>
      </c>
      <c r="M5" s="14">
        <v>2</v>
      </c>
      <c r="N5" s="14">
        <v>2</v>
      </c>
      <c r="O5" s="14">
        <v>2</v>
      </c>
      <c r="P5" s="14"/>
      <c r="Q5" s="14"/>
      <c r="R5" s="14"/>
      <c r="S5" s="14">
        <v>1</v>
      </c>
      <c r="T5" s="14">
        <v>1</v>
      </c>
      <c r="U5" s="14">
        <v>2</v>
      </c>
      <c r="V5" s="14">
        <v>1</v>
      </c>
      <c r="W5" s="14"/>
      <c r="X5" s="14"/>
      <c r="Y5" s="14"/>
      <c r="Z5" s="14">
        <v>1</v>
      </c>
      <c r="AA5" s="14">
        <v>1</v>
      </c>
      <c r="AB5" s="14">
        <v>2</v>
      </c>
      <c r="AC5" s="14">
        <v>1</v>
      </c>
      <c r="AD5" s="14"/>
      <c r="AE5" s="14"/>
      <c r="AF5" s="14"/>
      <c r="AG5" s="14"/>
      <c r="AH5" s="10">
        <f t="shared" si="1"/>
        <v>24</v>
      </c>
      <c r="AI5" s="11">
        <f t="shared" ref="AI5" si="2">SUM(AH5:AH6)</f>
        <v>48</v>
      </c>
      <c r="AJ5" s="12">
        <f t="shared" ref="AJ5" si="3">PRODUCT(AI5/AI6)</f>
        <v>24</v>
      </c>
    </row>
    <row r="6" spans="1:36" ht="20.25">
      <c r="A6" s="62"/>
      <c r="B6" s="109" t="str">
        <f>INDYWIDUAL!B6</f>
        <v>Crystal Castillo</v>
      </c>
      <c r="C6" s="14"/>
      <c r="D6" s="14"/>
      <c r="E6" s="14">
        <v>1</v>
      </c>
      <c r="F6" s="14">
        <v>2</v>
      </c>
      <c r="G6" s="14">
        <v>2</v>
      </c>
      <c r="H6" s="14">
        <v>2</v>
      </c>
      <c r="I6" s="14"/>
      <c r="J6" s="14"/>
      <c r="K6" s="14"/>
      <c r="L6" s="14">
        <v>1</v>
      </c>
      <c r="M6" s="14">
        <v>2</v>
      </c>
      <c r="N6" s="14">
        <v>2</v>
      </c>
      <c r="O6" s="14">
        <v>2</v>
      </c>
      <c r="P6" s="14"/>
      <c r="Q6" s="14"/>
      <c r="R6" s="14"/>
      <c r="S6" s="14">
        <v>1</v>
      </c>
      <c r="T6" s="14">
        <v>1</v>
      </c>
      <c r="U6" s="14">
        <v>1</v>
      </c>
      <c r="V6" s="14">
        <v>1</v>
      </c>
      <c r="W6" s="14"/>
      <c r="X6" s="14"/>
      <c r="Y6" s="14"/>
      <c r="Z6" s="14">
        <v>1</v>
      </c>
      <c r="AA6" s="14">
        <v>2</v>
      </c>
      <c r="AB6" s="14">
        <v>2</v>
      </c>
      <c r="AC6" s="14">
        <v>1</v>
      </c>
      <c r="AD6" s="14"/>
      <c r="AE6" s="14"/>
      <c r="AF6" s="14"/>
      <c r="AG6" s="14"/>
      <c r="AH6" s="10">
        <f t="shared" si="1"/>
        <v>24</v>
      </c>
      <c r="AI6" s="11">
        <f t="shared" ref="AI6" si="4">COUNTA(B5:B6)</f>
        <v>2</v>
      </c>
      <c r="AJ6" s="13"/>
    </row>
    <row r="7" spans="1:36" ht="20.25">
      <c r="A7" s="110">
        <v>326</v>
      </c>
      <c r="B7" s="111" t="str">
        <f>INDYWIDUAL!B7</f>
        <v>Virginia Rivera</v>
      </c>
      <c r="C7" s="67"/>
      <c r="D7" s="17"/>
      <c r="E7" s="17">
        <v>3</v>
      </c>
      <c r="F7" s="17">
        <v>3</v>
      </c>
      <c r="G7" s="17">
        <v>3</v>
      </c>
      <c r="H7" s="17">
        <v>3</v>
      </c>
      <c r="I7" s="17"/>
      <c r="J7" s="17"/>
      <c r="K7" s="17"/>
      <c r="L7" s="17">
        <v>3</v>
      </c>
      <c r="M7" s="17">
        <v>3</v>
      </c>
      <c r="N7" s="17">
        <v>3</v>
      </c>
      <c r="O7" s="17">
        <v>3</v>
      </c>
      <c r="P7" s="17"/>
      <c r="Q7" s="17"/>
      <c r="R7" s="17"/>
      <c r="S7" s="17">
        <v>3</v>
      </c>
      <c r="T7" s="17">
        <v>3</v>
      </c>
      <c r="U7" s="17">
        <v>3</v>
      </c>
      <c r="V7" s="17">
        <v>3</v>
      </c>
      <c r="W7" s="17"/>
      <c r="X7" s="17"/>
      <c r="Y7" s="17"/>
      <c r="Z7" s="17">
        <v>3</v>
      </c>
      <c r="AA7" s="17">
        <v>3</v>
      </c>
      <c r="AB7" s="17">
        <v>3</v>
      </c>
      <c r="AC7" s="17">
        <v>3</v>
      </c>
      <c r="AD7" s="17"/>
      <c r="AE7" s="17"/>
      <c r="AF7" s="17"/>
      <c r="AG7" s="17"/>
      <c r="AH7" s="10">
        <f t="shared" si="1"/>
        <v>48</v>
      </c>
      <c r="AI7" s="11">
        <f>SUM(AH7:AH10)</f>
        <v>168</v>
      </c>
      <c r="AJ7" s="12">
        <f>PRODUCT(AI7/AI8)</f>
        <v>42</v>
      </c>
    </row>
    <row r="8" spans="1:36" ht="20.25">
      <c r="A8" s="58"/>
      <c r="B8" s="111" t="str">
        <f>INDYWIDUAL!B8</f>
        <v>Barbara McDonald</v>
      </c>
      <c r="C8" s="17"/>
      <c r="D8" s="17"/>
      <c r="E8" s="17">
        <v>3</v>
      </c>
      <c r="F8" s="17">
        <v>3</v>
      </c>
      <c r="G8" s="17">
        <v>3</v>
      </c>
      <c r="H8" s="17">
        <v>3</v>
      </c>
      <c r="I8" s="17"/>
      <c r="J8" s="17"/>
      <c r="K8" s="17"/>
      <c r="L8" s="17">
        <v>3</v>
      </c>
      <c r="M8" s="17">
        <v>3</v>
      </c>
      <c r="N8" s="17">
        <v>3</v>
      </c>
      <c r="O8" s="17">
        <v>3</v>
      </c>
      <c r="P8" s="17"/>
      <c r="Q8" s="17"/>
      <c r="R8" s="17"/>
      <c r="S8" s="17">
        <v>3</v>
      </c>
      <c r="T8" s="17">
        <v>3</v>
      </c>
      <c r="U8" s="17">
        <v>3</v>
      </c>
      <c r="V8" s="17">
        <v>3</v>
      </c>
      <c r="W8" s="17"/>
      <c r="X8" s="17"/>
      <c r="Y8" s="17"/>
      <c r="Z8" s="17">
        <v>3</v>
      </c>
      <c r="AA8" s="17">
        <v>3</v>
      </c>
      <c r="AB8" s="17">
        <v>2</v>
      </c>
      <c r="AC8" s="17">
        <v>3</v>
      </c>
      <c r="AD8" s="17"/>
      <c r="AE8" s="17"/>
      <c r="AF8" s="17"/>
      <c r="AG8" s="17"/>
      <c r="AH8" s="10">
        <f t="shared" si="1"/>
        <v>47</v>
      </c>
      <c r="AI8" s="11">
        <f>COUNTA(B7:B10)</f>
        <v>4</v>
      </c>
      <c r="AJ8" s="13"/>
    </row>
    <row r="9" spans="1:36" ht="20.25">
      <c r="A9" s="58"/>
      <c r="B9" s="111" t="str">
        <f>INDYWIDUAL!B9</f>
        <v>Gustáv Šlahor</v>
      </c>
      <c r="C9" s="17"/>
      <c r="D9" s="17"/>
      <c r="E9" s="17">
        <v>3</v>
      </c>
      <c r="F9" s="17">
        <v>3</v>
      </c>
      <c r="G9" s="17">
        <v>3</v>
      </c>
      <c r="H9" s="17">
        <v>3</v>
      </c>
      <c r="I9" s="17"/>
      <c r="J9" s="17"/>
      <c r="K9" s="17"/>
      <c r="L9" s="17">
        <v>3</v>
      </c>
      <c r="M9" s="17">
        <v>3</v>
      </c>
      <c r="N9" s="17">
        <v>3</v>
      </c>
      <c r="O9" s="17">
        <v>3</v>
      </c>
      <c r="P9" s="17"/>
      <c r="Q9" s="17"/>
      <c r="R9" s="17"/>
      <c r="S9" s="17">
        <v>3</v>
      </c>
      <c r="T9" s="17">
        <v>3</v>
      </c>
      <c r="U9" s="17">
        <v>3</v>
      </c>
      <c r="V9" s="17">
        <v>3</v>
      </c>
      <c r="W9" s="17"/>
      <c r="X9" s="17"/>
      <c r="Y9" s="17"/>
      <c r="Z9" s="17">
        <v>3</v>
      </c>
      <c r="AA9" s="17">
        <v>1</v>
      </c>
      <c r="AB9" s="17">
        <v>1</v>
      </c>
      <c r="AC9" s="17">
        <v>3</v>
      </c>
      <c r="AD9" s="17"/>
      <c r="AE9" s="17"/>
      <c r="AF9" s="17"/>
      <c r="AG9" s="17"/>
      <c r="AH9" s="10">
        <f t="shared" si="1"/>
        <v>44</v>
      </c>
      <c r="AI9" s="11"/>
      <c r="AJ9" s="13"/>
    </row>
    <row r="10" spans="1:36" ht="20.25">
      <c r="A10" s="58"/>
      <c r="B10" s="111" t="str">
        <f>INDYWIDUAL!B10</f>
        <v>Felipe Arroyo</v>
      </c>
      <c r="C10" s="17"/>
      <c r="D10" s="17"/>
      <c r="E10" s="17">
        <v>2</v>
      </c>
      <c r="F10" s="17">
        <v>2</v>
      </c>
      <c r="G10" s="17">
        <v>1</v>
      </c>
      <c r="H10" s="17">
        <v>2</v>
      </c>
      <c r="I10" s="17"/>
      <c r="J10" s="17"/>
      <c r="K10" s="17"/>
      <c r="L10" s="17">
        <v>2</v>
      </c>
      <c r="M10" s="17">
        <v>2</v>
      </c>
      <c r="N10" s="17">
        <v>1</v>
      </c>
      <c r="O10" s="17">
        <v>2</v>
      </c>
      <c r="P10" s="17"/>
      <c r="Q10" s="17"/>
      <c r="R10" s="17"/>
      <c r="S10" s="17">
        <v>2</v>
      </c>
      <c r="T10" s="17">
        <v>2</v>
      </c>
      <c r="U10" s="17">
        <v>1</v>
      </c>
      <c r="V10" s="17">
        <v>2</v>
      </c>
      <c r="W10" s="17"/>
      <c r="X10" s="17"/>
      <c r="Y10" s="17"/>
      <c r="Z10" s="17">
        <v>2</v>
      </c>
      <c r="AA10" s="17">
        <v>2</v>
      </c>
      <c r="AB10" s="17">
        <v>2</v>
      </c>
      <c r="AC10" s="17">
        <v>2</v>
      </c>
      <c r="AD10" s="17"/>
      <c r="AE10" s="17"/>
      <c r="AF10" s="17"/>
      <c r="AG10" s="17"/>
      <c r="AH10" s="10">
        <f t="shared" si="1"/>
        <v>29</v>
      </c>
      <c r="AI10" s="1"/>
      <c r="AJ10" s="1"/>
    </row>
    <row r="11" spans="1:36" ht="20.25">
      <c r="A11" s="54">
        <v>320</v>
      </c>
      <c r="B11" s="114" t="str">
        <f>INDYWIDUAL!B11</f>
        <v>Flora Hodoș</v>
      </c>
      <c r="C11" s="8"/>
      <c r="D11" s="8"/>
      <c r="E11" s="8">
        <v>2</v>
      </c>
      <c r="F11" s="9">
        <v>3</v>
      </c>
      <c r="G11" s="8">
        <v>3</v>
      </c>
      <c r="H11" s="9">
        <v>2</v>
      </c>
      <c r="I11" s="8"/>
      <c r="J11" s="8"/>
      <c r="K11" s="8"/>
      <c r="L11" s="8">
        <v>2</v>
      </c>
      <c r="M11" s="9">
        <v>2</v>
      </c>
      <c r="N11" s="8">
        <v>1</v>
      </c>
      <c r="O11" s="9">
        <v>2</v>
      </c>
      <c r="P11" s="8"/>
      <c r="Q11" s="8"/>
      <c r="R11" s="8"/>
      <c r="S11" s="8">
        <v>2</v>
      </c>
      <c r="T11" s="9">
        <v>2</v>
      </c>
      <c r="U11" s="8">
        <v>1</v>
      </c>
      <c r="V11" s="9">
        <v>2</v>
      </c>
      <c r="W11" s="8"/>
      <c r="X11" s="8"/>
      <c r="Y11" s="8"/>
      <c r="Z11" s="8">
        <v>2</v>
      </c>
      <c r="AA11" s="9">
        <v>2</v>
      </c>
      <c r="AB11" s="8">
        <v>1</v>
      </c>
      <c r="AC11" s="9">
        <v>2</v>
      </c>
      <c r="AD11" s="8"/>
      <c r="AE11" s="8"/>
      <c r="AF11" s="8"/>
      <c r="AG11" s="8"/>
      <c r="AH11" s="10">
        <f t="shared" si="1"/>
        <v>31</v>
      </c>
      <c r="AI11" s="11">
        <f>SUM(AH11:AH12)</f>
        <v>73</v>
      </c>
      <c r="AJ11" s="12">
        <f>PRODUCT(AI11/AI12)</f>
        <v>36.5</v>
      </c>
    </row>
    <row r="12" spans="1:36" ht="19.5" customHeight="1">
      <c r="A12" s="54"/>
      <c r="B12" s="114" t="str">
        <f>INDYWIDUAL!B12</f>
        <v>Felföldi Xaviér</v>
      </c>
      <c r="C12" s="8"/>
      <c r="D12" s="8"/>
      <c r="E12" s="8">
        <v>3</v>
      </c>
      <c r="F12" s="8">
        <v>3</v>
      </c>
      <c r="G12" s="8">
        <v>3</v>
      </c>
      <c r="H12" s="8">
        <v>3</v>
      </c>
      <c r="I12" s="8"/>
      <c r="J12" s="8"/>
      <c r="K12" s="8"/>
      <c r="L12" s="8">
        <v>2</v>
      </c>
      <c r="M12" s="8">
        <v>3</v>
      </c>
      <c r="N12" s="8">
        <v>2</v>
      </c>
      <c r="O12" s="8">
        <v>3</v>
      </c>
      <c r="P12" s="8"/>
      <c r="Q12" s="8"/>
      <c r="R12" s="8"/>
      <c r="S12" s="8">
        <v>2</v>
      </c>
      <c r="T12" s="8">
        <v>3</v>
      </c>
      <c r="U12" s="8">
        <v>2</v>
      </c>
      <c r="V12" s="8">
        <v>3</v>
      </c>
      <c r="W12" s="8"/>
      <c r="X12" s="8"/>
      <c r="Y12" s="8"/>
      <c r="Z12" s="8">
        <v>2</v>
      </c>
      <c r="AA12" s="8">
        <v>3</v>
      </c>
      <c r="AB12" s="8">
        <v>2</v>
      </c>
      <c r="AC12" s="8">
        <v>3</v>
      </c>
      <c r="AD12" s="8"/>
      <c r="AE12" s="8"/>
      <c r="AF12" s="8"/>
      <c r="AG12" s="8"/>
      <c r="AH12" s="10">
        <f t="shared" si="1"/>
        <v>42</v>
      </c>
      <c r="AI12" s="11">
        <f>COUNTA(B11:B12)</f>
        <v>2</v>
      </c>
      <c r="AJ12" s="13"/>
    </row>
    <row r="13" spans="1:36" ht="19.5" customHeight="1">
      <c r="A13" s="112">
        <v>321</v>
      </c>
      <c r="B13" s="115" t="str">
        <f>INDYWIDUAL!B13</f>
        <v>ნანი კობახიძე</v>
      </c>
      <c r="C13" s="14"/>
      <c r="D13" s="14"/>
      <c r="E13" s="14">
        <v>2</v>
      </c>
      <c r="F13" s="14">
        <v>2</v>
      </c>
      <c r="G13" s="14">
        <v>2</v>
      </c>
      <c r="H13" s="14">
        <v>2</v>
      </c>
      <c r="I13" s="14"/>
      <c r="J13" s="14"/>
      <c r="K13" s="14"/>
      <c r="L13" s="14">
        <v>1</v>
      </c>
      <c r="M13" s="14">
        <v>1</v>
      </c>
      <c r="N13" s="14">
        <v>2</v>
      </c>
      <c r="O13" s="14">
        <v>1</v>
      </c>
      <c r="P13" s="14"/>
      <c r="Q13" s="14"/>
      <c r="R13" s="14"/>
      <c r="S13" s="14">
        <v>1</v>
      </c>
      <c r="T13" s="14">
        <v>1</v>
      </c>
      <c r="U13" s="14">
        <v>2</v>
      </c>
      <c r="V13" s="14">
        <v>1</v>
      </c>
      <c r="W13" s="14"/>
      <c r="X13" s="14"/>
      <c r="Y13" s="14"/>
      <c r="Z13" s="14">
        <v>1</v>
      </c>
      <c r="AA13" s="14">
        <v>1</v>
      </c>
      <c r="AB13" s="14">
        <v>2</v>
      </c>
      <c r="AC13" s="14">
        <v>1</v>
      </c>
      <c r="AD13" s="14"/>
      <c r="AE13" s="14"/>
      <c r="AF13" s="14"/>
      <c r="AG13" s="14"/>
      <c r="AH13" s="10">
        <f t="shared" si="1"/>
        <v>23</v>
      </c>
      <c r="AI13" s="11">
        <f>SUM(AH13:AH14)</f>
        <v>52</v>
      </c>
      <c r="AJ13" s="12">
        <f>PRODUCT(AI13/AI14)</f>
        <v>26</v>
      </c>
    </row>
    <row r="14" spans="1:36" ht="20.25">
      <c r="A14" s="55"/>
      <c r="B14" s="115" t="str">
        <f>INDYWIDUAL!B14</f>
        <v>Horea Agârbiceanu</v>
      </c>
      <c r="C14" s="14"/>
      <c r="D14" s="14"/>
      <c r="E14" s="14">
        <v>2</v>
      </c>
      <c r="F14" s="14">
        <v>2</v>
      </c>
      <c r="G14" s="14">
        <v>2</v>
      </c>
      <c r="H14" s="14">
        <v>2</v>
      </c>
      <c r="I14" s="14"/>
      <c r="J14" s="14"/>
      <c r="K14" s="14"/>
      <c r="L14" s="14">
        <v>1</v>
      </c>
      <c r="M14" s="14">
        <v>2</v>
      </c>
      <c r="N14" s="14">
        <v>2</v>
      </c>
      <c r="O14" s="14">
        <v>2</v>
      </c>
      <c r="P14" s="14"/>
      <c r="Q14" s="14"/>
      <c r="R14" s="14"/>
      <c r="S14" s="14">
        <v>1</v>
      </c>
      <c r="T14" s="14">
        <v>2</v>
      </c>
      <c r="U14" s="14">
        <v>2</v>
      </c>
      <c r="V14" s="14">
        <v>2</v>
      </c>
      <c r="W14" s="14"/>
      <c r="X14" s="14"/>
      <c r="Y14" s="14"/>
      <c r="Z14" s="14">
        <v>1</v>
      </c>
      <c r="AA14" s="14">
        <v>2</v>
      </c>
      <c r="AB14" s="14">
        <v>2</v>
      </c>
      <c r="AC14" s="14">
        <v>2</v>
      </c>
      <c r="AD14" s="14"/>
      <c r="AE14" s="14"/>
      <c r="AF14" s="14"/>
      <c r="AG14" s="14"/>
      <c r="AH14" s="10">
        <f t="shared" si="1"/>
        <v>29</v>
      </c>
      <c r="AI14" s="11">
        <f>COUNTA(B13:B14)</f>
        <v>2</v>
      </c>
      <c r="AJ14" s="13"/>
    </row>
    <row r="15" spans="1:36" ht="20.25">
      <c r="A15" s="60">
        <v>322</v>
      </c>
      <c r="B15" s="116" t="str">
        <f>INDYWIDUAL!B15</f>
        <v>Caius Câmpineanu</v>
      </c>
      <c r="C15" s="121"/>
      <c r="D15" s="15"/>
      <c r="E15" s="60">
        <v>2</v>
      </c>
      <c r="F15" s="15">
        <v>1</v>
      </c>
      <c r="G15" s="15">
        <v>2</v>
      </c>
      <c r="H15" s="15">
        <v>1</v>
      </c>
      <c r="I15" s="15"/>
      <c r="J15" s="15"/>
      <c r="K15" s="15"/>
      <c r="L15" s="15">
        <v>2</v>
      </c>
      <c r="M15" s="15">
        <v>1</v>
      </c>
      <c r="N15" s="15">
        <v>2</v>
      </c>
      <c r="O15" s="15">
        <v>1</v>
      </c>
      <c r="P15" s="15"/>
      <c r="Q15" s="15"/>
      <c r="R15" s="15"/>
      <c r="S15" s="15">
        <v>2</v>
      </c>
      <c r="T15" s="15">
        <v>1</v>
      </c>
      <c r="U15" s="15">
        <v>2</v>
      </c>
      <c r="V15" s="15">
        <v>1</v>
      </c>
      <c r="W15" s="15"/>
      <c r="X15" s="15"/>
      <c r="Y15" s="15"/>
      <c r="Z15" s="15">
        <v>2</v>
      </c>
      <c r="AA15" s="15">
        <v>1</v>
      </c>
      <c r="AB15" s="15">
        <v>2</v>
      </c>
      <c r="AC15" s="15">
        <v>1</v>
      </c>
      <c r="AD15" s="15"/>
      <c r="AE15" s="15"/>
      <c r="AF15" s="15"/>
      <c r="AG15" s="15"/>
      <c r="AH15" s="10">
        <f t="shared" si="1"/>
        <v>24</v>
      </c>
      <c r="AI15" s="11">
        <f>SUM(AH15:AH16)</f>
        <v>50</v>
      </c>
      <c r="AJ15" s="12">
        <f>PRODUCT(AI15/AI16)</f>
        <v>25</v>
      </c>
    </row>
    <row r="16" spans="1:36" ht="20.25">
      <c r="A16" s="56"/>
      <c r="B16" s="116" t="str">
        <f>INDYWIDUAL!B16</f>
        <v>Rüya Öcal</v>
      </c>
      <c r="C16" s="15"/>
      <c r="D16" s="15"/>
      <c r="E16" s="15">
        <v>2</v>
      </c>
      <c r="F16" s="15">
        <v>1</v>
      </c>
      <c r="G16" s="15">
        <v>2</v>
      </c>
      <c r="H16" s="15">
        <v>1</v>
      </c>
      <c r="I16" s="15"/>
      <c r="J16" s="15"/>
      <c r="K16" s="15"/>
      <c r="L16" s="15">
        <v>2</v>
      </c>
      <c r="M16" s="15">
        <v>1</v>
      </c>
      <c r="N16" s="15">
        <v>2</v>
      </c>
      <c r="O16" s="15">
        <v>1</v>
      </c>
      <c r="P16" s="15"/>
      <c r="Q16" s="15"/>
      <c r="R16" s="15"/>
      <c r="S16" s="15">
        <v>2</v>
      </c>
      <c r="T16" s="15">
        <v>1</v>
      </c>
      <c r="U16" s="15">
        <v>2</v>
      </c>
      <c r="V16" s="15">
        <v>1</v>
      </c>
      <c r="W16" s="15"/>
      <c r="X16" s="15"/>
      <c r="Y16" s="15"/>
      <c r="Z16" s="15">
        <v>2</v>
      </c>
      <c r="AA16" s="15">
        <v>2</v>
      </c>
      <c r="AB16" s="15">
        <v>2</v>
      </c>
      <c r="AC16" s="15">
        <v>2</v>
      </c>
      <c r="AD16" s="15"/>
      <c r="AE16" s="15"/>
      <c r="AF16" s="15"/>
      <c r="AG16" s="15"/>
      <c r="AH16" s="10">
        <f t="shared" si="1"/>
        <v>26</v>
      </c>
      <c r="AI16" s="11">
        <f>COUNTA(B15:B16)</f>
        <v>2</v>
      </c>
      <c r="AJ16" s="13"/>
    </row>
    <row r="17" spans="1:37" ht="20.25">
      <c r="A17" s="57">
        <v>323</v>
      </c>
      <c r="B17" s="117" t="str">
        <f>INDYWIDUAL!B17</f>
        <v>Bhim Khan</v>
      </c>
      <c r="C17" s="16"/>
      <c r="D17" s="16"/>
      <c r="E17" s="16">
        <v>3</v>
      </c>
      <c r="F17" s="16">
        <v>3</v>
      </c>
      <c r="G17" s="16">
        <v>3</v>
      </c>
      <c r="H17" s="16">
        <v>3</v>
      </c>
      <c r="I17" s="16"/>
      <c r="J17" s="16"/>
      <c r="K17" s="16"/>
      <c r="L17" s="16">
        <v>3</v>
      </c>
      <c r="M17" s="16">
        <v>3</v>
      </c>
      <c r="N17" s="16">
        <v>3</v>
      </c>
      <c r="O17" s="16">
        <v>3</v>
      </c>
      <c r="P17" s="16"/>
      <c r="Q17" s="16"/>
      <c r="R17" s="16"/>
      <c r="S17" s="16">
        <v>3</v>
      </c>
      <c r="T17" s="16">
        <v>3</v>
      </c>
      <c r="U17" s="16">
        <v>3</v>
      </c>
      <c r="V17" s="16">
        <v>3</v>
      </c>
      <c r="W17" s="16"/>
      <c r="X17" s="16"/>
      <c r="Y17" s="16"/>
      <c r="Z17" s="16">
        <v>3</v>
      </c>
      <c r="AA17" s="16">
        <v>3</v>
      </c>
      <c r="AB17" s="16">
        <v>3</v>
      </c>
      <c r="AC17" s="16">
        <v>3</v>
      </c>
      <c r="AD17" s="16"/>
      <c r="AE17" s="16"/>
      <c r="AF17" s="16"/>
      <c r="AG17" s="16"/>
      <c r="AH17" s="10">
        <f t="shared" si="1"/>
        <v>48</v>
      </c>
      <c r="AI17" s="11">
        <f>SUM(AH17:AH19)</f>
        <v>136</v>
      </c>
      <c r="AJ17" s="12">
        <f>PRODUCT(AI17/AI18)</f>
        <v>45.333333333333336</v>
      </c>
    </row>
    <row r="18" spans="1:37" ht="20.25">
      <c r="A18" s="57"/>
      <c r="B18" s="117" t="str">
        <f>INDYWIDUAL!B18</f>
        <v>Διγενής Αλεβιζόπουλος</v>
      </c>
      <c r="C18" s="16"/>
      <c r="D18" s="16"/>
      <c r="E18" s="16">
        <v>3</v>
      </c>
      <c r="F18" s="16">
        <v>3</v>
      </c>
      <c r="G18" s="16">
        <v>3</v>
      </c>
      <c r="H18" s="16">
        <v>3</v>
      </c>
      <c r="I18" s="16"/>
      <c r="J18" s="16"/>
      <c r="K18" s="16"/>
      <c r="L18" s="16">
        <v>3</v>
      </c>
      <c r="M18" s="16">
        <v>3</v>
      </c>
      <c r="N18" s="16">
        <v>3</v>
      </c>
      <c r="O18" s="16">
        <v>3</v>
      </c>
      <c r="P18" s="16"/>
      <c r="Q18" s="16"/>
      <c r="R18" s="16"/>
      <c r="S18" s="16">
        <v>3</v>
      </c>
      <c r="T18" s="16">
        <v>3</v>
      </c>
      <c r="U18" s="16">
        <v>3</v>
      </c>
      <c r="V18" s="16">
        <v>3</v>
      </c>
      <c r="W18" s="16"/>
      <c r="X18" s="16"/>
      <c r="Y18" s="16"/>
      <c r="Z18" s="16">
        <v>3</v>
      </c>
      <c r="AA18" s="16">
        <v>3</v>
      </c>
      <c r="AB18" s="16">
        <v>3</v>
      </c>
      <c r="AC18" s="16">
        <v>3</v>
      </c>
      <c r="AD18" s="16"/>
      <c r="AE18" s="16"/>
      <c r="AF18" s="16"/>
      <c r="AG18" s="16"/>
      <c r="AH18" s="10">
        <f t="shared" si="1"/>
        <v>48</v>
      </c>
      <c r="AI18" s="11">
        <f>COUNTA(B17:B19)</f>
        <v>3</v>
      </c>
      <c r="AJ18" s="13"/>
    </row>
    <row r="19" spans="1:37" ht="20.25">
      <c r="A19" s="57"/>
      <c r="B19" s="117" t="str">
        <f>INDYWIDUAL!B19</f>
        <v>Ιππόλυτος Αλεξανδρίδης</v>
      </c>
      <c r="C19" s="16"/>
      <c r="D19" s="16"/>
      <c r="E19" s="16">
        <v>2</v>
      </c>
      <c r="F19" s="16">
        <v>3</v>
      </c>
      <c r="G19" s="16">
        <v>2</v>
      </c>
      <c r="H19" s="16">
        <v>3</v>
      </c>
      <c r="I19" s="16"/>
      <c r="J19" s="16"/>
      <c r="K19" s="16"/>
      <c r="L19" s="16">
        <v>2</v>
      </c>
      <c r="M19" s="16">
        <v>3</v>
      </c>
      <c r="N19" s="16">
        <v>2</v>
      </c>
      <c r="O19" s="16">
        <v>3</v>
      </c>
      <c r="P19" s="16"/>
      <c r="Q19" s="16"/>
      <c r="R19" s="16"/>
      <c r="S19" s="16">
        <v>2</v>
      </c>
      <c r="T19" s="16">
        <v>3</v>
      </c>
      <c r="U19" s="16">
        <v>2</v>
      </c>
      <c r="V19" s="16">
        <v>3</v>
      </c>
      <c r="W19" s="16"/>
      <c r="X19" s="16"/>
      <c r="Y19" s="16"/>
      <c r="Z19" s="16">
        <v>2</v>
      </c>
      <c r="AA19" s="16">
        <v>3</v>
      </c>
      <c r="AB19" s="16">
        <v>2</v>
      </c>
      <c r="AC19" s="16">
        <v>3</v>
      </c>
      <c r="AD19" s="16"/>
      <c r="AE19" s="16"/>
      <c r="AF19" s="16"/>
      <c r="AG19" s="16"/>
      <c r="AH19" s="10">
        <f t="shared" si="1"/>
        <v>40</v>
      </c>
      <c r="AI19" s="11"/>
      <c r="AJ19" s="13"/>
    </row>
    <row r="20" spans="1:37" ht="20.25">
      <c r="A20" s="58">
        <v>326</v>
      </c>
      <c r="B20" s="111" t="str">
        <f>INDYWIDUAL!B20</f>
        <v>Caterina Almaș</v>
      </c>
      <c r="C20" s="17"/>
      <c r="D20" s="17"/>
      <c r="E20" s="17">
        <v>3</v>
      </c>
      <c r="F20" s="17">
        <v>3</v>
      </c>
      <c r="G20" s="17">
        <v>3</v>
      </c>
      <c r="H20" s="17">
        <v>3</v>
      </c>
      <c r="I20" s="17"/>
      <c r="J20" s="17"/>
      <c r="K20" s="17"/>
      <c r="L20" s="17">
        <v>3</v>
      </c>
      <c r="M20" s="17">
        <v>3</v>
      </c>
      <c r="N20" s="17">
        <v>3</v>
      </c>
      <c r="O20" s="17">
        <v>3</v>
      </c>
      <c r="P20" s="17"/>
      <c r="Q20" s="17"/>
      <c r="R20" s="17"/>
      <c r="S20" s="17">
        <v>3</v>
      </c>
      <c r="T20" s="17">
        <v>3</v>
      </c>
      <c r="U20" s="17">
        <v>3</v>
      </c>
      <c r="V20" s="17">
        <v>3</v>
      </c>
      <c r="W20" s="17"/>
      <c r="X20" s="17"/>
      <c r="Y20" s="17"/>
      <c r="Z20" s="17">
        <v>3</v>
      </c>
      <c r="AA20" s="17">
        <v>3</v>
      </c>
      <c r="AB20" s="17">
        <v>3</v>
      </c>
      <c r="AC20" s="17">
        <v>3</v>
      </c>
      <c r="AD20" s="17"/>
      <c r="AE20" s="17"/>
      <c r="AF20" s="17"/>
      <c r="AG20" s="17"/>
      <c r="AH20" s="10">
        <f t="shared" si="1"/>
        <v>48</v>
      </c>
      <c r="AI20" s="11">
        <f>SUM(AH20:AH22)</f>
        <v>144</v>
      </c>
      <c r="AJ20" s="12">
        <f>PRODUCT(AI20/AI21)</f>
        <v>48</v>
      </c>
    </row>
    <row r="21" spans="1:37" ht="20.25">
      <c r="A21" s="58"/>
      <c r="B21" s="111" t="str">
        <f>INDYWIDUAL!B21</f>
        <v>Davy Tom</v>
      </c>
      <c r="C21" s="17"/>
      <c r="D21" s="17"/>
      <c r="E21" s="17">
        <v>3</v>
      </c>
      <c r="F21" s="17">
        <v>3</v>
      </c>
      <c r="G21" s="17">
        <v>3</v>
      </c>
      <c r="H21" s="17">
        <v>3</v>
      </c>
      <c r="I21" s="17"/>
      <c r="J21" s="17"/>
      <c r="K21" s="17"/>
      <c r="L21" s="17">
        <v>3</v>
      </c>
      <c r="M21" s="17">
        <v>3</v>
      </c>
      <c r="N21" s="17">
        <v>3</v>
      </c>
      <c r="O21" s="17">
        <v>3</v>
      </c>
      <c r="P21" s="17"/>
      <c r="Q21" s="17"/>
      <c r="R21" s="17"/>
      <c r="S21" s="17">
        <v>3</v>
      </c>
      <c r="T21" s="17">
        <v>3</v>
      </c>
      <c r="U21" s="17">
        <v>3</v>
      </c>
      <c r="V21" s="17">
        <v>3</v>
      </c>
      <c r="W21" s="17"/>
      <c r="X21" s="17"/>
      <c r="Y21" s="17"/>
      <c r="Z21" s="17">
        <v>3</v>
      </c>
      <c r="AA21" s="17">
        <v>3</v>
      </c>
      <c r="AB21" s="17">
        <v>3</v>
      </c>
      <c r="AC21" s="17">
        <v>3</v>
      </c>
      <c r="AD21" s="17"/>
      <c r="AE21" s="17"/>
      <c r="AF21" s="17"/>
      <c r="AG21" s="17"/>
      <c r="AH21" s="10">
        <f t="shared" si="1"/>
        <v>48</v>
      </c>
      <c r="AI21" s="11">
        <f>COUNTA(B20:B22)</f>
        <v>3</v>
      </c>
      <c r="AJ21" s="13"/>
    </row>
    <row r="22" spans="1:37" ht="20.25">
      <c r="A22" s="58"/>
      <c r="B22" s="111" t="str">
        <f>INDYWIDUAL!B22</f>
        <v>Ambróz Šimko</v>
      </c>
      <c r="C22" s="17"/>
      <c r="D22" s="17"/>
      <c r="E22" s="17">
        <v>3</v>
      </c>
      <c r="F22" s="17">
        <v>3</v>
      </c>
      <c r="G22" s="17">
        <v>3</v>
      </c>
      <c r="H22" s="17">
        <v>3</v>
      </c>
      <c r="I22" s="17"/>
      <c r="J22" s="17"/>
      <c r="K22" s="17"/>
      <c r="L22" s="17">
        <v>3</v>
      </c>
      <c r="M22" s="17">
        <v>3</v>
      </c>
      <c r="N22" s="17">
        <v>3</v>
      </c>
      <c r="O22" s="17">
        <v>3</v>
      </c>
      <c r="P22" s="17"/>
      <c r="Q22" s="17"/>
      <c r="R22" s="17"/>
      <c r="S22" s="17">
        <v>3</v>
      </c>
      <c r="T22" s="17">
        <v>3</v>
      </c>
      <c r="U22" s="17">
        <v>3</v>
      </c>
      <c r="V22" s="17">
        <v>3</v>
      </c>
      <c r="W22" s="17"/>
      <c r="X22" s="17"/>
      <c r="Y22" s="17"/>
      <c r="Z22" s="17">
        <v>3</v>
      </c>
      <c r="AA22" s="17">
        <v>3</v>
      </c>
      <c r="AB22" s="17">
        <v>3</v>
      </c>
      <c r="AC22" s="17">
        <v>3</v>
      </c>
      <c r="AD22" s="17"/>
      <c r="AE22" s="17"/>
      <c r="AF22" s="17"/>
      <c r="AG22" s="17"/>
      <c r="AH22" s="10">
        <f t="shared" si="1"/>
        <v>48</v>
      </c>
      <c r="AI22" s="11"/>
      <c r="AJ22" s="13"/>
    </row>
    <row r="23" spans="1:37" ht="20.25">
      <c r="A23" s="59">
        <v>328</v>
      </c>
      <c r="B23" s="118" t="str">
        <f>INDYWIDUAL!B23</f>
        <v>Viorela Stănculescu</v>
      </c>
      <c r="C23" s="18"/>
      <c r="D23" s="18"/>
      <c r="E23" s="18">
        <v>2</v>
      </c>
      <c r="F23" s="18">
        <v>3</v>
      </c>
      <c r="G23" s="18">
        <v>2</v>
      </c>
      <c r="H23" s="18">
        <v>3</v>
      </c>
      <c r="I23" s="18"/>
      <c r="J23" s="18"/>
      <c r="K23" s="18"/>
      <c r="L23" s="18">
        <v>2</v>
      </c>
      <c r="M23" s="18">
        <v>3</v>
      </c>
      <c r="N23" s="18">
        <v>2</v>
      </c>
      <c r="O23" s="18">
        <v>3</v>
      </c>
      <c r="P23" s="18"/>
      <c r="Q23" s="18"/>
      <c r="R23" s="18"/>
      <c r="S23" s="18">
        <v>2</v>
      </c>
      <c r="T23" s="18">
        <v>3</v>
      </c>
      <c r="U23" s="18">
        <v>2</v>
      </c>
      <c r="V23" s="18">
        <v>3</v>
      </c>
      <c r="W23" s="18"/>
      <c r="X23" s="18"/>
      <c r="Y23" s="18"/>
      <c r="Z23" s="18">
        <v>2</v>
      </c>
      <c r="AA23" s="18">
        <v>3</v>
      </c>
      <c r="AB23" s="18">
        <v>2</v>
      </c>
      <c r="AC23" s="18">
        <v>3</v>
      </c>
      <c r="AD23" s="18"/>
      <c r="AE23" s="18"/>
      <c r="AF23" s="18"/>
      <c r="AG23" s="18"/>
      <c r="AH23" s="10">
        <f t="shared" si="1"/>
        <v>40</v>
      </c>
      <c r="AI23" s="11">
        <f>SUM(AH23:AH25)</f>
        <v>120</v>
      </c>
      <c r="AJ23" s="12">
        <f>PRODUCT(AI23/AI24)</f>
        <v>40</v>
      </c>
    </row>
    <row r="24" spans="1:37" ht="20.25">
      <c r="A24" s="59"/>
      <c r="B24" s="118" t="str">
        <f>INDYWIDUAL!B24</f>
        <v>Chu Kim</v>
      </c>
      <c r="C24" s="18"/>
      <c r="D24" s="18"/>
      <c r="E24" s="18">
        <v>2</v>
      </c>
      <c r="F24" s="18">
        <v>3</v>
      </c>
      <c r="G24" s="18">
        <v>2</v>
      </c>
      <c r="H24" s="18">
        <v>3</v>
      </c>
      <c r="I24" s="18"/>
      <c r="J24" s="18"/>
      <c r="K24" s="18"/>
      <c r="L24" s="18">
        <v>2</v>
      </c>
      <c r="M24" s="18">
        <v>3</v>
      </c>
      <c r="N24" s="18">
        <v>2</v>
      </c>
      <c r="O24" s="18">
        <v>3</v>
      </c>
      <c r="P24" s="18"/>
      <c r="Q24" s="18"/>
      <c r="R24" s="18"/>
      <c r="S24" s="18">
        <v>2</v>
      </c>
      <c r="T24" s="18">
        <v>3</v>
      </c>
      <c r="U24" s="18">
        <v>2</v>
      </c>
      <c r="V24" s="18">
        <v>3</v>
      </c>
      <c r="W24" s="18"/>
      <c r="X24" s="18"/>
      <c r="Y24" s="18"/>
      <c r="Z24" s="18">
        <v>2</v>
      </c>
      <c r="AA24" s="18">
        <v>3</v>
      </c>
      <c r="AB24" s="18">
        <v>2</v>
      </c>
      <c r="AC24" s="18">
        <v>3</v>
      </c>
      <c r="AD24" s="18"/>
      <c r="AE24" s="18"/>
      <c r="AF24" s="18"/>
      <c r="AG24" s="18"/>
      <c r="AH24" s="10">
        <f t="shared" si="1"/>
        <v>40</v>
      </c>
      <c r="AI24" s="11">
        <f>COUNTA(B23:B25)</f>
        <v>3</v>
      </c>
      <c r="AJ24" s="13"/>
    </row>
    <row r="25" spans="1:37" ht="20.25">
      <c r="A25" s="59"/>
      <c r="B25" s="118" t="str">
        <f>INDYWIDUAL!B25</f>
        <v>Arif Haque</v>
      </c>
      <c r="C25" s="18"/>
      <c r="D25" s="18"/>
      <c r="E25" s="18">
        <v>2</v>
      </c>
      <c r="F25" s="18">
        <v>3</v>
      </c>
      <c r="G25" s="18">
        <v>2</v>
      </c>
      <c r="H25" s="18">
        <v>3</v>
      </c>
      <c r="I25" s="18"/>
      <c r="J25" s="18"/>
      <c r="K25" s="18"/>
      <c r="L25" s="18">
        <v>2</v>
      </c>
      <c r="M25" s="18">
        <v>3</v>
      </c>
      <c r="N25" s="18">
        <v>2</v>
      </c>
      <c r="O25" s="18">
        <v>3</v>
      </c>
      <c r="P25" s="18"/>
      <c r="Q25" s="18"/>
      <c r="R25" s="18"/>
      <c r="S25" s="18">
        <v>2</v>
      </c>
      <c r="T25" s="18">
        <v>3</v>
      </c>
      <c r="U25" s="18">
        <v>2</v>
      </c>
      <c r="V25" s="18">
        <v>3</v>
      </c>
      <c r="W25" s="18"/>
      <c r="X25" s="18"/>
      <c r="Y25" s="18"/>
      <c r="Z25" s="18">
        <v>2</v>
      </c>
      <c r="AA25" s="18">
        <v>3</v>
      </c>
      <c r="AB25" s="18">
        <v>2</v>
      </c>
      <c r="AC25" s="18">
        <v>3</v>
      </c>
      <c r="AD25" s="18"/>
      <c r="AE25" s="18"/>
      <c r="AF25" s="18"/>
      <c r="AG25" s="18"/>
      <c r="AH25" s="10">
        <f t="shared" si="1"/>
        <v>40</v>
      </c>
      <c r="AI25" s="11"/>
      <c r="AJ25" s="13"/>
    </row>
    <row r="26" spans="1:37" ht="20.25">
      <c r="A26" s="60">
        <v>329</v>
      </c>
      <c r="B26" s="116" t="str">
        <f>INDYWIDUAL!B26</f>
        <v>Jean Muscă</v>
      </c>
      <c r="C26" s="19"/>
      <c r="D26" s="19"/>
      <c r="E26" s="19">
        <v>3</v>
      </c>
      <c r="F26" s="19">
        <v>3</v>
      </c>
      <c r="G26" s="19">
        <v>3</v>
      </c>
      <c r="H26" s="19">
        <v>3</v>
      </c>
      <c r="I26" s="19"/>
      <c r="J26" s="19"/>
      <c r="K26" s="19"/>
      <c r="L26" s="19">
        <v>3</v>
      </c>
      <c r="M26" s="19">
        <v>3</v>
      </c>
      <c r="N26" s="19">
        <v>3</v>
      </c>
      <c r="O26" s="19">
        <v>3</v>
      </c>
      <c r="P26" s="19"/>
      <c r="Q26" s="19"/>
      <c r="R26" s="19"/>
      <c r="S26" s="19">
        <v>3</v>
      </c>
      <c r="T26" s="19">
        <v>3</v>
      </c>
      <c r="U26" s="19">
        <v>3</v>
      </c>
      <c r="V26" s="19">
        <v>3</v>
      </c>
      <c r="W26" s="19"/>
      <c r="X26" s="19"/>
      <c r="Y26" s="19"/>
      <c r="Z26" s="19">
        <v>3</v>
      </c>
      <c r="AA26" s="19">
        <v>3</v>
      </c>
      <c r="AB26" s="19">
        <v>3</v>
      </c>
      <c r="AC26" s="19">
        <v>3</v>
      </c>
      <c r="AD26" s="19"/>
      <c r="AE26" s="19"/>
      <c r="AF26" s="19"/>
      <c r="AG26" s="19"/>
      <c r="AH26" s="10">
        <f t="shared" si="1"/>
        <v>48</v>
      </c>
      <c r="AI26" s="11">
        <f>SUM(AH26:AH28)</f>
        <v>144</v>
      </c>
      <c r="AJ26" s="12">
        <f>PRODUCT(AI26/AI27)</f>
        <v>48</v>
      </c>
    </row>
    <row r="27" spans="1:37" ht="20.25">
      <c r="A27" s="60"/>
      <c r="B27" s="116" t="str">
        <f>INDYWIDUAL!B27</f>
        <v>Ηλιόδωρος Αντωνόπουλος</v>
      </c>
      <c r="C27" s="19"/>
      <c r="D27" s="19"/>
      <c r="E27" s="19">
        <v>3</v>
      </c>
      <c r="F27" s="19">
        <v>3</v>
      </c>
      <c r="G27" s="19">
        <v>3</v>
      </c>
      <c r="H27" s="19">
        <v>3</v>
      </c>
      <c r="I27" s="19"/>
      <c r="J27" s="19"/>
      <c r="K27" s="19"/>
      <c r="L27" s="19">
        <v>3</v>
      </c>
      <c r="M27" s="19">
        <v>3</v>
      </c>
      <c r="N27" s="19">
        <v>3</v>
      </c>
      <c r="O27" s="19">
        <v>3</v>
      </c>
      <c r="P27" s="19"/>
      <c r="Q27" s="19"/>
      <c r="R27" s="19"/>
      <c r="S27" s="19">
        <v>3</v>
      </c>
      <c r="T27" s="19">
        <v>3</v>
      </c>
      <c r="U27" s="19">
        <v>3</v>
      </c>
      <c r="V27" s="19">
        <v>3</v>
      </c>
      <c r="W27" s="19"/>
      <c r="X27" s="19"/>
      <c r="Y27" s="19"/>
      <c r="Z27" s="19">
        <v>3</v>
      </c>
      <c r="AA27" s="19">
        <v>3</v>
      </c>
      <c r="AB27" s="19">
        <v>3</v>
      </c>
      <c r="AC27" s="19">
        <v>3</v>
      </c>
      <c r="AD27" s="19"/>
      <c r="AE27" s="19"/>
      <c r="AF27" s="19"/>
      <c r="AG27" s="19"/>
      <c r="AH27" s="10">
        <f t="shared" si="1"/>
        <v>48</v>
      </c>
      <c r="AI27" s="11">
        <f>COUNTA(B26:B28)</f>
        <v>3</v>
      </c>
      <c r="AJ27" s="13"/>
    </row>
    <row r="28" spans="1:37" ht="20.25">
      <c r="A28" s="60"/>
      <c r="B28" s="116" t="str">
        <f>INDYWIDUAL!B28</f>
        <v>Male from Mexico</v>
      </c>
      <c r="C28" s="19"/>
      <c r="D28" s="19"/>
      <c r="E28" s="19">
        <v>3</v>
      </c>
      <c r="F28" s="19">
        <v>3</v>
      </c>
      <c r="G28" s="19">
        <v>3</v>
      </c>
      <c r="H28" s="19">
        <v>3</v>
      </c>
      <c r="I28" s="19"/>
      <c r="J28" s="19"/>
      <c r="K28" s="19"/>
      <c r="L28" s="19">
        <v>3</v>
      </c>
      <c r="M28" s="19">
        <v>3</v>
      </c>
      <c r="N28" s="19">
        <v>3</v>
      </c>
      <c r="O28" s="19">
        <v>3</v>
      </c>
      <c r="P28" s="19"/>
      <c r="Q28" s="19"/>
      <c r="R28" s="19"/>
      <c r="S28" s="19">
        <v>3</v>
      </c>
      <c r="T28" s="19">
        <v>3</v>
      </c>
      <c r="U28" s="19">
        <v>3</v>
      </c>
      <c r="V28" s="19">
        <v>3</v>
      </c>
      <c r="W28" s="19"/>
      <c r="X28" s="19"/>
      <c r="Y28" s="19"/>
      <c r="Z28" s="19">
        <v>3</v>
      </c>
      <c r="AA28" s="19">
        <v>3</v>
      </c>
      <c r="AB28" s="19">
        <v>3</v>
      </c>
      <c r="AC28" s="19">
        <v>3</v>
      </c>
      <c r="AD28" s="19"/>
      <c r="AE28" s="19"/>
      <c r="AF28" s="19"/>
      <c r="AG28" s="19"/>
      <c r="AH28" s="10">
        <f t="shared" si="1"/>
        <v>48</v>
      </c>
      <c r="AI28" s="11"/>
      <c r="AJ28" s="13"/>
      <c r="AK28" s="27"/>
    </row>
    <row r="29" spans="1:37" ht="20.25">
      <c r="A29" s="113">
        <v>330</v>
      </c>
      <c r="B29" s="120" t="str">
        <f>INDYWIDUAL!B29</f>
        <v>Isidro Santos</v>
      </c>
      <c r="C29" s="20"/>
      <c r="D29" s="20"/>
      <c r="E29" s="20">
        <v>3</v>
      </c>
      <c r="F29" s="20">
        <v>3</v>
      </c>
      <c r="G29" s="20">
        <v>3</v>
      </c>
      <c r="H29" s="20">
        <v>3</v>
      </c>
      <c r="I29" s="20"/>
      <c r="J29" s="20"/>
      <c r="K29" s="20"/>
      <c r="L29" s="20">
        <v>3</v>
      </c>
      <c r="M29" s="20">
        <v>3</v>
      </c>
      <c r="N29" s="20">
        <v>3</v>
      </c>
      <c r="O29" s="20">
        <v>3</v>
      </c>
      <c r="P29" s="20"/>
      <c r="Q29" s="20"/>
      <c r="R29" s="20"/>
      <c r="S29" s="20">
        <v>3</v>
      </c>
      <c r="T29" s="20">
        <v>3</v>
      </c>
      <c r="U29" s="20">
        <v>3</v>
      </c>
      <c r="V29" s="20">
        <v>3</v>
      </c>
      <c r="W29" s="20"/>
      <c r="X29" s="20"/>
      <c r="Y29" s="20"/>
      <c r="Z29" s="20">
        <v>3</v>
      </c>
      <c r="AA29" s="20">
        <v>3</v>
      </c>
      <c r="AB29" s="20">
        <v>3</v>
      </c>
      <c r="AC29" s="20">
        <v>3</v>
      </c>
      <c r="AD29" s="20"/>
      <c r="AE29" s="20"/>
      <c r="AF29" s="20"/>
      <c r="AG29" s="20"/>
      <c r="AH29" s="10">
        <f t="shared" si="1"/>
        <v>48</v>
      </c>
      <c r="AI29" s="11">
        <f>SUM(AH29:AH30)</f>
        <v>88</v>
      </c>
      <c r="AJ29" s="12">
        <f>PRODUCT(AI29/AI30)</f>
        <v>44</v>
      </c>
      <c r="AK29" s="27"/>
    </row>
    <row r="30" spans="1:37" ht="20.25">
      <c r="A30" s="26"/>
      <c r="B30" s="119" t="str">
        <f>INDYWIDUAL!B30</f>
        <v>Lana Begović</v>
      </c>
      <c r="C30" s="20"/>
      <c r="D30" s="20"/>
      <c r="E30" s="20">
        <v>2</v>
      </c>
      <c r="F30" s="20">
        <v>3</v>
      </c>
      <c r="G30" s="20">
        <v>2</v>
      </c>
      <c r="H30" s="20">
        <v>3</v>
      </c>
      <c r="I30" s="20"/>
      <c r="J30" s="20"/>
      <c r="K30" s="20"/>
      <c r="L30" s="20">
        <v>2</v>
      </c>
      <c r="M30" s="20">
        <v>3</v>
      </c>
      <c r="N30" s="20">
        <v>2</v>
      </c>
      <c r="O30" s="20">
        <v>3</v>
      </c>
      <c r="P30" s="20"/>
      <c r="Q30" s="20"/>
      <c r="R30" s="20"/>
      <c r="S30" s="20">
        <v>2</v>
      </c>
      <c r="T30" s="20">
        <v>3</v>
      </c>
      <c r="U30" s="20">
        <v>2</v>
      </c>
      <c r="V30" s="20">
        <v>3</v>
      </c>
      <c r="W30" s="20"/>
      <c r="X30" s="20"/>
      <c r="Y30" s="20"/>
      <c r="Z30" s="20">
        <v>2</v>
      </c>
      <c r="AA30" s="20">
        <v>3</v>
      </c>
      <c r="AB30" s="20">
        <v>2</v>
      </c>
      <c r="AC30" s="20">
        <v>3</v>
      </c>
      <c r="AD30" s="20"/>
      <c r="AE30" s="20"/>
      <c r="AF30" s="20"/>
      <c r="AG30" s="20"/>
      <c r="AH30" s="10">
        <f t="shared" si="1"/>
        <v>40</v>
      </c>
      <c r="AI30" s="11">
        <f>COUNTA(B29:B30)</f>
        <v>2</v>
      </c>
      <c r="AJ30" s="13"/>
      <c r="AK30" s="27"/>
    </row>
    <row r="31" spans="1:37" ht="20.25">
      <c r="A31" s="58">
        <v>331</v>
      </c>
      <c r="B31" s="111" t="str">
        <f>INDYWIDUAL!B31</f>
        <v>Olborski Jakub</v>
      </c>
      <c r="C31" s="17"/>
      <c r="D31" s="17"/>
      <c r="E31" s="17">
        <v>3</v>
      </c>
      <c r="F31" s="17">
        <v>3</v>
      </c>
      <c r="G31" s="17">
        <v>3</v>
      </c>
      <c r="H31" s="17">
        <v>3</v>
      </c>
      <c r="I31" s="17"/>
      <c r="J31" s="17"/>
      <c r="K31" s="17"/>
      <c r="L31" s="17">
        <v>3</v>
      </c>
      <c r="M31" s="17">
        <v>3</v>
      </c>
      <c r="N31" s="17">
        <v>3</v>
      </c>
      <c r="O31" s="17">
        <v>3</v>
      </c>
      <c r="P31" s="17"/>
      <c r="Q31" s="17"/>
      <c r="R31" s="17"/>
      <c r="S31" s="17">
        <v>3</v>
      </c>
      <c r="T31" s="17">
        <v>3</v>
      </c>
      <c r="U31" s="17">
        <v>3</v>
      </c>
      <c r="V31" s="17">
        <v>3</v>
      </c>
      <c r="W31" s="17"/>
      <c r="X31" s="17"/>
      <c r="Y31" s="17"/>
      <c r="Z31" s="17">
        <v>3</v>
      </c>
      <c r="AA31" s="17">
        <v>3</v>
      </c>
      <c r="AB31" s="17">
        <v>3</v>
      </c>
      <c r="AC31" s="17">
        <v>3</v>
      </c>
      <c r="AD31" s="17"/>
      <c r="AE31" s="17"/>
      <c r="AF31" s="17"/>
      <c r="AG31" s="17"/>
      <c r="AH31" s="10">
        <f t="shared" si="1"/>
        <v>48</v>
      </c>
      <c r="AI31" s="11">
        <f>SUM(AH31:AH32)</f>
        <v>96</v>
      </c>
      <c r="AJ31" s="12">
        <f>PRODUCT(AI31/AI32)</f>
        <v>48</v>
      </c>
      <c r="AK31" s="27"/>
    </row>
    <row r="32" spans="1:37" ht="20.25">
      <c r="A32" s="58"/>
      <c r="B32" s="111" t="str">
        <f>INDYWIDUAL!B32</f>
        <v>Górka Szymon</v>
      </c>
      <c r="C32" s="17"/>
      <c r="D32" s="17"/>
      <c r="E32" s="17">
        <v>3</v>
      </c>
      <c r="F32" s="17">
        <v>3</v>
      </c>
      <c r="G32" s="17">
        <v>3</v>
      </c>
      <c r="H32" s="17">
        <v>3</v>
      </c>
      <c r="I32" s="17"/>
      <c r="J32" s="17"/>
      <c r="K32" s="17"/>
      <c r="L32" s="17">
        <v>3</v>
      </c>
      <c r="M32" s="17">
        <v>3</v>
      </c>
      <c r="N32" s="17">
        <v>3</v>
      </c>
      <c r="O32" s="17">
        <v>3</v>
      </c>
      <c r="P32" s="17"/>
      <c r="Q32" s="17"/>
      <c r="R32" s="17"/>
      <c r="S32" s="17">
        <v>3</v>
      </c>
      <c r="T32" s="17">
        <v>3</v>
      </c>
      <c r="U32" s="17">
        <v>3</v>
      </c>
      <c r="V32" s="17">
        <v>3</v>
      </c>
      <c r="W32" s="17"/>
      <c r="X32" s="17"/>
      <c r="Y32" s="17"/>
      <c r="Z32" s="17">
        <v>3</v>
      </c>
      <c r="AA32" s="17">
        <v>3</v>
      </c>
      <c r="AB32" s="17">
        <v>3</v>
      </c>
      <c r="AC32" s="17">
        <v>3</v>
      </c>
      <c r="AD32" s="17"/>
      <c r="AE32" s="17"/>
      <c r="AF32" s="17"/>
      <c r="AG32" s="17"/>
      <c r="AH32" s="10">
        <f t="shared" si="1"/>
        <v>48</v>
      </c>
      <c r="AI32" s="11">
        <f>COUNTA(B31:B32)</f>
        <v>2</v>
      </c>
      <c r="AJ32" s="21"/>
    </row>
    <row r="33" spans="1:36" ht="20.25">
      <c r="A33" s="54">
        <v>332</v>
      </c>
      <c r="B33" s="114" t="str">
        <f>INDYWIDUAL!B33</f>
        <v>Patai Ágnes</v>
      </c>
      <c r="C33" s="8"/>
      <c r="D33" s="8"/>
      <c r="E33" s="8">
        <v>1</v>
      </c>
      <c r="F33" s="9">
        <v>2</v>
      </c>
      <c r="G33" s="8">
        <v>1</v>
      </c>
      <c r="H33" s="9">
        <v>2</v>
      </c>
      <c r="I33" s="8"/>
      <c r="J33" s="8"/>
      <c r="K33" s="8"/>
      <c r="L33" s="8">
        <v>1</v>
      </c>
      <c r="M33" s="9">
        <v>2</v>
      </c>
      <c r="N33" s="8">
        <v>1</v>
      </c>
      <c r="O33" s="9">
        <v>2</v>
      </c>
      <c r="P33" s="8"/>
      <c r="Q33" s="8"/>
      <c r="R33" s="8"/>
      <c r="S33" s="8">
        <v>1</v>
      </c>
      <c r="T33" s="9">
        <v>2</v>
      </c>
      <c r="U33" s="8">
        <v>1</v>
      </c>
      <c r="V33" s="9">
        <v>2</v>
      </c>
      <c r="W33" s="8"/>
      <c r="X33" s="8"/>
      <c r="Y33" s="8"/>
      <c r="Z33" s="8">
        <v>1</v>
      </c>
      <c r="AA33" s="9">
        <v>2</v>
      </c>
      <c r="AB33" s="8">
        <v>1</v>
      </c>
      <c r="AC33" s="9">
        <v>2</v>
      </c>
      <c r="AD33" s="8"/>
      <c r="AE33" s="8"/>
      <c r="AF33" s="8"/>
      <c r="AG33" s="8"/>
      <c r="AH33" s="10">
        <f t="shared" si="1"/>
        <v>24</v>
      </c>
      <c r="AI33" s="11">
        <f>SUM(AH33:AH34)</f>
        <v>48</v>
      </c>
      <c r="AJ33" s="12">
        <f>PRODUCT(AI33/AI34)</f>
        <v>24</v>
      </c>
    </row>
    <row r="34" spans="1:36" ht="20.25">
      <c r="A34" s="54"/>
      <c r="B34" s="114" t="str">
        <f>INDYWIDUAL!B34</f>
        <v>Samikshya Duwadi</v>
      </c>
      <c r="C34" s="8"/>
      <c r="D34" s="8"/>
      <c r="E34" s="8">
        <v>1</v>
      </c>
      <c r="F34" s="8">
        <v>2</v>
      </c>
      <c r="G34" s="8">
        <v>1</v>
      </c>
      <c r="H34" s="8">
        <v>2</v>
      </c>
      <c r="I34" s="8"/>
      <c r="J34" s="8"/>
      <c r="K34" s="8"/>
      <c r="L34" s="8">
        <v>1</v>
      </c>
      <c r="M34" s="8">
        <v>2</v>
      </c>
      <c r="N34" s="8">
        <v>1</v>
      </c>
      <c r="O34" s="8">
        <v>2</v>
      </c>
      <c r="P34" s="8"/>
      <c r="Q34" s="8"/>
      <c r="R34" s="8"/>
      <c r="S34" s="8">
        <v>1</v>
      </c>
      <c r="T34" s="8">
        <v>2</v>
      </c>
      <c r="U34" s="8">
        <v>1</v>
      </c>
      <c r="V34" s="8">
        <v>2</v>
      </c>
      <c r="W34" s="8"/>
      <c r="X34" s="8"/>
      <c r="Y34" s="8"/>
      <c r="Z34" s="8">
        <v>1</v>
      </c>
      <c r="AA34" s="8">
        <v>2</v>
      </c>
      <c r="AB34" s="8">
        <v>1</v>
      </c>
      <c r="AC34" s="8">
        <v>2</v>
      </c>
      <c r="AD34" s="8"/>
      <c r="AE34" s="8"/>
      <c r="AF34" s="8"/>
      <c r="AG34" s="8"/>
      <c r="AH34" s="10">
        <f t="shared" si="1"/>
        <v>24</v>
      </c>
      <c r="AI34" s="11">
        <f>COUNTA(B33:B34)</f>
        <v>2</v>
      </c>
      <c r="AJ34" s="13"/>
    </row>
    <row r="35" spans="1:36" ht="20.25">
      <c r="A35" s="61">
        <v>333</v>
      </c>
      <c r="B35" s="22" t="str">
        <f>INDYWIDUAL!B35</f>
        <v>Salinda Lungeli</v>
      </c>
      <c r="C35" s="23"/>
      <c r="D35" s="23"/>
      <c r="E35" s="23">
        <v>3</v>
      </c>
      <c r="F35" s="23">
        <v>3</v>
      </c>
      <c r="G35" s="23">
        <v>3</v>
      </c>
      <c r="H35" s="23">
        <v>3</v>
      </c>
      <c r="I35" s="23"/>
      <c r="J35" s="23"/>
      <c r="K35" s="23"/>
      <c r="L35" s="23">
        <v>3</v>
      </c>
      <c r="M35" s="23">
        <v>3</v>
      </c>
      <c r="N35" s="23">
        <v>3</v>
      </c>
      <c r="O35" s="23">
        <v>3</v>
      </c>
      <c r="P35" s="23"/>
      <c r="Q35" s="23"/>
      <c r="R35" s="23"/>
      <c r="S35" s="23">
        <v>3</v>
      </c>
      <c r="T35" s="23">
        <v>3</v>
      </c>
      <c r="U35" s="23">
        <v>3</v>
      </c>
      <c r="V35" s="23">
        <v>3</v>
      </c>
      <c r="W35" s="23"/>
      <c r="X35" s="23"/>
      <c r="Y35" s="23"/>
      <c r="Z35" s="23">
        <v>3</v>
      </c>
      <c r="AA35" s="23">
        <v>3</v>
      </c>
      <c r="AB35" s="23">
        <v>3</v>
      </c>
      <c r="AC35" s="23">
        <v>3</v>
      </c>
      <c r="AD35" s="23"/>
      <c r="AE35" s="23"/>
      <c r="AF35" s="23"/>
      <c r="AG35" s="23"/>
      <c r="AH35" s="10">
        <f t="shared" si="1"/>
        <v>48</v>
      </c>
      <c r="AI35" s="11">
        <f>SUM(AH35:AH36)</f>
        <v>72</v>
      </c>
      <c r="AJ35" s="12">
        <f>PRODUCT(AI35/AI36)</f>
        <v>36</v>
      </c>
    </row>
    <row r="36" spans="1:36" ht="20.25">
      <c r="A36" s="61"/>
      <c r="B36" s="22" t="str">
        <f>INDYWIDUAL!B36</f>
        <v>Dani Erika</v>
      </c>
      <c r="C36" s="24"/>
      <c r="D36" s="24"/>
      <c r="E36" s="24">
        <v>1</v>
      </c>
      <c r="F36" s="24">
        <v>2</v>
      </c>
      <c r="G36" s="24">
        <v>1</v>
      </c>
      <c r="H36" s="24">
        <v>2</v>
      </c>
      <c r="I36" s="24"/>
      <c r="J36" s="24"/>
      <c r="K36" s="24"/>
      <c r="L36" s="24">
        <v>1</v>
      </c>
      <c r="M36" s="24">
        <v>2</v>
      </c>
      <c r="N36" s="24">
        <v>1</v>
      </c>
      <c r="O36" s="24">
        <v>2</v>
      </c>
      <c r="P36" s="24"/>
      <c r="Q36" s="24"/>
      <c r="R36" s="24"/>
      <c r="S36" s="24">
        <v>1</v>
      </c>
      <c r="T36" s="24">
        <v>2</v>
      </c>
      <c r="U36" s="24">
        <v>1</v>
      </c>
      <c r="V36" s="24">
        <v>2</v>
      </c>
      <c r="W36" s="24"/>
      <c r="X36" s="24"/>
      <c r="Y36" s="24"/>
      <c r="Z36" s="24">
        <v>1</v>
      </c>
      <c r="AA36" s="24">
        <v>2</v>
      </c>
      <c r="AB36" s="24">
        <v>1</v>
      </c>
      <c r="AC36" s="24">
        <v>2</v>
      </c>
      <c r="AD36" s="24"/>
      <c r="AE36" s="24"/>
      <c r="AF36" s="24"/>
      <c r="AG36" s="24"/>
      <c r="AH36" s="10">
        <f t="shared" si="1"/>
        <v>24</v>
      </c>
      <c r="AI36" s="11">
        <f>COUNTA(B35:B36)</f>
        <v>2</v>
      </c>
      <c r="AJ36" s="13"/>
    </row>
    <row r="37" spans="1:36" ht="20.25">
      <c r="A37" s="62">
        <v>334</v>
      </c>
      <c r="B37" s="115" t="str">
        <f>INDYWIDUAL!B37</f>
        <v>Paulina Florianu</v>
      </c>
      <c r="C37" s="14"/>
      <c r="D37" s="14"/>
      <c r="E37" s="14">
        <v>1</v>
      </c>
      <c r="F37" s="14">
        <v>1</v>
      </c>
      <c r="G37" s="14">
        <v>1</v>
      </c>
      <c r="H37" s="14">
        <v>1</v>
      </c>
      <c r="I37" s="14"/>
      <c r="J37" s="14"/>
      <c r="K37" s="14"/>
      <c r="L37" s="14">
        <v>1</v>
      </c>
      <c r="M37" s="14">
        <v>1</v>
      </c>
      <c r="N37" s="14">
        <v>1</v>
      </c>
      <c r="O37" s="14">
        <v>1</v>
      </c>
      <c r="P37" s="14"/>
      <c r="Q37" s="14"/>
      <c r="R37" s="14"/>
      <c r="S37" s="14">
        <v>1</v>
      </c>
      <c r="T37" s="14">
        <v>1</v>
      </c>
      <c r="U37" s="14">
        <v>1</v>
      </c>
      <c r="V37" s="14">
        <v>1</v>
      </c>
      <c r="W37" s="14"/>
      <c r="X37" s="14"/>
      <c r="Y37" s="14"/>
      <c r="Z37" s="14">
        <v>1</v>
      </c>
      <c r="AA37" s="14">
        <v>1</v>
      </c>
      <c r="AB37" s="14">
        <v>1</v>
      </c>
      <c r="AC37" s="14">
        <v>1</v>
      </c>
      <c r="AD37" s="14"/>
      <c r="AE37" s="14"/>
      <c r="AF37" s="14"/>
      <c r="AG37" s="14"/>
      <c r="AH37" s="10">
        <f t="shared" si="1"/>
        <v>16</v>
      </c>
      <c r="AI37" s="11">
        <f>SUM(AH37:AH39)</f>
        <v>80</v>
      </c>
      <c r="AJ37" s="12">
        <f>PRODUCT(AI37/AI39)</f>
        <v>26.666666666666668</v>
      </c>
    </row>
    <row r="38" spans="1:36" ht="20.25">
      <c r="A38" s="62"/>
      <c r="B38" s="115" t="str">
        <f>INDYWIDUAL!B38</f>
        <v>Jeremy West</v>
      </c>
      <c r="C38" s="14"/>
      <c r="D38" s="14"/>
      <c r="E38" s="14">
        <v>1</v>
      </c>
      <c r="F38" s="14">
        <v>1</v>
      </c>
      <c r="G38" s="14">
        <v>1</v>
      </c>
      <c r="H38" s="14">
        <v>1</v>
      </c>
      <c r="I38" s="14"/>
      <c r="J38" s="14"/>
      <c r="K38" s="14"/>
      <c r="L38" s="14">
        <v>1</v>
      </c>
      <c r="M38" s="14">
        <v>1</v>
      </c>
      <c r="N38" s="14">
        <v>1</v>
      </c>
      <c r="O38" s="14">
        <v>1</v>
      </c>
      <c r="P38" s="14"/>
      <c r="Q38" s="14"/>
      <c r="R38" s="14"/>
      <c r="S38" s="14">
        <v>1</v>
      </c>
      <c r="T38" s="14">
        <v>1</v>
      </c>
      <c r="U38" s="14">
        <v>1</v>
      </c>
      <c r="V38" s="14">
        <v>1</v>
      </c>
      <c r="W38" s="14"/>
      <c r="X38" s="14"/>
      <c r="Y38" s="14"/>
      <c r="Z38" s="14">
        <v>1</v>
      </c>
      <c r="AA38" s="14">
        <v>1</v>
      </c>
      <c r="AB38" s="14">
        <v>1</v>
      </c>
      <c r="AC38" s="14">
        <v>1</v>
      </c>
      <c r="AD38" s="14"/>
      <c r="AE38" s="14"/>
      <c r="AF38" s="14"/>
      <c r="AG38" s="14"/>
      <c r="AH38" s="10">
        <f t="shared" si="1"/>
        <v>16</v>
      </c>
      <c r="AJ38" s="21"/>
    </row>
    <row r="39" spans="1:36" ht="20.25">
      <c r="A39" s="62"/>
      <c r="B39" s="115" t="str">
        <f>INDYWIDUAL!B39</f>
        <v>Dragoș Magheru</v>
      </c>
      <c r="C39" s="14"/>
      <c r="D39" s="14"/>
      <c r="E39" s="14">
        <v>3</v>
      </c>
      <c r="F39" s="14">
        <v>3</v>
      </c>
      <c r="G39" s="14">
        <v>3</v>
      </c>
      <c r="H39" s="14">
        <v>3</v>
      </c>
      <c r="I39" s="14"/>
      <c r="J39" s="14"/>
      <c r="K39" s="14"/>
      <c r="L39" s="14">
        <v>3</v>
      </c>
      <c r="M39" s="14">
        <v>3</v>
      </c>
      <c r="N39" s="14">
        <v>3</v>
      </c>
      <c r="O39" s="14">
        <v>3</v>
      </c>
      <c r="P39" s="14"/>
      <c r="Q39" s="14"/>
      <c r="R39" s="14"/>
      <c r="S39" s="14">
        <v>3</v>
      </c>
      <c r="T39" s="14">
        <v>3</v>
      </c>
      <c r="U39" s="14">
        <v>3</v>
      </c>
      <c r="V39" s="14">
        <v>3</v>
      </c>
      <c r="W39" s="14"/>
      <c r="X39" s="14"/>
      <c r="Y39" s="14"/>
      <c r="Z39" s="14">
        <v>3</v>
      </c>
      <c r="AA39" s="14">
        <v>3</v>
      </c>
      <c r="AB39" s="14">
        <v>3</v>
      </c>
      <c r="AC39" s="14">
        <v>3</v>
      </c>
      <c r="AD39" s="14"/>
      <c r="AE39" s="14"/>
      <c r="AF39" s="14"/>
      <c r="AG39" s="14"/>
      <c r="AH39" s="10">
        <f t="shared" si="1"/>
        <v>48</v>
      </c>
      <c r="AI39" s="11">
        <f>COUNTA(B37:B39)</f>
        <v>3</v>
      </c>
    </row>
  </sheetData>
  <mergeCells count="1">
    <mergeCell ref="E1:M1"/>
  </mergeCells>
  <pageMargins left="0.23611111111111099" right="0.23611111111111099" top="0.23611111111111099" bottom="0.15972222222222199" header="0.51180555555555496" footer="0.51180555555555496"/>
  <pageSetup paperSize="9" firstPageNumber="0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MK39"/>
  <sheetViews>
    <sheetView topLeftCell="A30" workbookViewId="0">
      <selection activeCell="B40" sqref="B40"/>
    </sheetView>
  </sheetViews>
  <sheetFormatPr defaultRowHeight="14.25"/>
  <cols>
    <col min="1" max="1" width="6" style="1"/>
    <col min="2" max="2" width="25.5" style="1"/>
    <col min="3" max="33" width="3.125" style="1"/>
    <col min="34" max="34" width="8.625" style="1"/>
    <col min="35" max="35" width="9.5" style="1"/>
    <col min="36" max="36" width="10" style="1"/>
    <col min="37" max="1025" width="9.5" style="1"/>
  </cols>
  <sheetData>
    <row r="1" spans="1:38" ht="21.95" customHeight="1">
      <c r="A1"/>
      <c r="B1" s="2" t="s">
        <v>18</v>
      </c>
      <c r="C1"/>
      <c r="D1"/>
      <c r="E1" s="139" t="s">
        <v>7</v>
      </c>
      <c r="F1" s="139"/>
      <c r="G1" s="139"/>
      <c r="H1" s="139"/>
      <c r="I1" s="139"/>
      <c r="J1" s="139"/>
      <c r="K1" s="139"/>
      <c r="L1" s="139"/>
      <c r="M1" s="139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</row>
    <row r="2" spans="1:38" ht="15">
      <c r="A2" s="3" t="s">
        <v>1</v>
      </c>
      <c r="B2" s="4" t="s">
        <v>2</v>
      </c>
      <c r="C2" s="5">
        <v>1</v>
      </c>
      <c r="D2" s="5">
        <v>2</v>
      </c>
      <c r="E2" s="5">
        <v>3</v>
      </c>
      <c r="F2" s="5">
        <v>4</v>
      </c>
      <c r="G2" s="5">
        <v>5</v>
      </c>
      <c r="H2" s="5">
        <v>6</v>
      </c>
      <c r="I2" s="5">
        <v>7</v>
      </c>
      <c r="J2" s="5">
        <v>8</v>
      </c>
      <c r="K2" s="5">
        <v>9</v>
      </c>
      <c r="L2" s="5">
        <v>10</v>
      </c>
      <c r="M2" s="5">
        <v>11</v>
      </c>
      <c r="N2" s="5">
        <v>12</v>
      </c>
      <c r="O2" s="5">
        <v>13</v>
      </c>
      <c r="P2" s="5">
        <v>14</v>
      </c>
      <c r="Q2" s="5">
        <v>15</v>
      </c>
      <c r="R2" s="5">
        <v>16</v>
      </c>
      <c r="S2" s="5">
        <v>17</v>
      </c>
      <c r="T2" s="5">
        <v>18</v>
      </c>
      <c r="U2" s="5">
        <v>19</v>
      </c>
      <c r="V2" s="5">
        <v>20</v>
      </c>
      <c r="W2" s="5">
        <v>21</v>
      </c>
      <c r="X2" s="5">
        <v>22</v>
      </c>
      <c r="Y2" s="5">
        <v>23</v>
      </c>
      <c r="Z2" s="5">
        <v>24</v>
      </c>
      <c r="AA2" s="5">
        <v>25</v>
      </c>
      <c r="AB2" s="5">
        <v>26</v>
      </c>
      <c r="AC2" s="5">
        <v>27</v>
      </c>
      <c r="AD2" s="5">
        <v>28</v>
      </c>
      <c r="AE2" s="5">
        <v>29</v>
      </c>
      <c r="AF2" s="5">
        <v>30</v>
      </c>
      <c r="AG2" s="5">
        <v>31</v>
      </c>
      <c r="AH2" s="6" t="s">
        <v>3</v>
      </c>
      <c r="AI2"/>
      <c r="AJ2" s="7" t="s">
        <v>4</v>
      </c>
      <c r="AK2"/>
      <c r="AL2"/>
    </row>
    <row r="3" spans="1:38" ht="20.25">
      <c r="A3" s="61">
        <v>312</v>
      </c>
      <c r="B3" s="22" t="str">
        <f>INDYWIDUAL!B3</f>
        <v>Aaron Miller</v>
      </c>
      <c r="C3" s="23"/>
      <c r="D3" s="23"/>
      <c r="E3" s="23">
        <v>2</v>
      </c>
      <c r="F3" s="23">
        <v>2</v>
      </c>
      <c r="G3" s="23">
        <v>2</v>
      </c>
      <c r="H3" s="23">
        <v>2</v>
      </c>
      <c r="I3" s="23"/>
      <c r="J3" s="23"/>
      <c r="K3" s="23"/>
      <c r="L3" s="23">
        <v>2</v>
      </c>
      <c r="M3" s="23">
        <v>2</v>
      </c>
      <c r="N3" s="23">
        <v>2</v>
      </c>
      <c r="O3" s="23">
        <v>2</v>
      </c>
      <c r="P3" s="23"/>
      <c r="Q3" s="23"/>
      <c r="R3" s="23"/>
      <c r="S3" s="23">
        <v>2</v>
      </c>
      <c r="T3" s="23">
        <v>2</v>
      </c>
      <c r="U3" s="23">
        <v>2</v>
      </c>
      <c r="V3" s="23">
        <v>2</v>
      </c>
      <c r="W3" s="23"/>
      <c r="X3" s="23"/>
      <c r="Y3" s="23"/>
      <c r="Z3" s="23">
        <v>2</v>
      </c>
      <c r="AA3" s="23">
        <v>2</v>
      </c>
      <c r="AB3" s="23">
        <v>2</v>
      </c>
      <c r="AC3" s="23">
        <v>2</v>
      </c>
      <c r="AD3" s="23"/>
      <c r="AE3" s="23"/>
      <c r="AF3" s="23"/>
      <c r="AG3" s="23"/>
      <c r="AH3" s="10">
        <f>SUM(C3:AG3)</f>
        <v>32</v>
      </c>
      <c r="AI3" s="11">
        <f>SUM(AH3:AH4)</f>
        <v>80</v>
      </c>
      <c r="AJ3" s="12">
        <f t="shared" ref="AJ3" si="0">PRODUCT(AI3/AI4)</f>
        <v>40</v>
      </c>
      <c r="AK3"/>
      <c r="AL3"/>
    </row>
    <row r="4" spans="1:38" ht="20.25">
      <c r="A4" s="61"/>
      <c r="B4" s="22" t="str">
        <f>INDYWIDUAL!B4</f>
        <v>Amanda Boyd</v>
      </c>
      <c r="C4" s="24"/>
      <c r="D4" s="24"/>
      <c r="E4" s="24">
        <v>3</v>
      </c>
      <c r="F4" s="24">
        <v>3</v>
      </c>
      <c r="G4" s="24">
        <v>3</v>
      </c>
      <c r="H4" s="24">
        <v>3</v>
      </c>
      <c r="I4" s="24"/>
      <c r="J4" s="24"/>
      <c r="K4" s="24"/>
      <c r="L4" s="24">
        <v>3</v>
      </c>
      <c r="M4" s="24">
        <v>3</v>
      </c>
      <c r="N4" s="24">
        <v>3</v>
      </c>
      <c r="O4" s="24">
        <v>3</v>
      </c>
      <c r="P4" s="24"/>
      <c r="Q4" s="24"/>
      <c r="R4" s="24"/>
      <c r="S4" s="24">
        <v>3</v>
      </c>
      <c r="T4" s="24">
        <v>3</v>
      </c>
      <c r="U4" s="24">
        <v>3</v>
      </c>
      <c r="V4" s="24">
        <v>3</v>
      </c>
      <c r="W4" s="24"/>
      <c r="X4" s="24"/>
      <c r="Y4" s="24"/>
      <c r="Z4" s="24">
        <v>3</v>
      </c>
      <c r="AA4" s="24">
        <v>3</v>
      </c>
      <c r="AB4" s="24">
        <v>3</v>
      </c>
      <c r="AC4" s="24">
        <v>3</v>
      </c>
      <c r="AD4" s="24"/>
      <c r="AE4" s="24"/>
      <c r="AF4" s="24"/>
      <c r="AG4" s="24"/>
      <c r="AH4" s="10">
        <f t="shared" ref="AH4:AH39" si="1">SUM(C4:AG4)</f>
        <v>48</v>
      </c>
      <c r="AI4" s="11">
        <f>COUNTA(B3:B4)</f>
        <v>2</v>
      </c>
      <c r="AJ4" s="13"/>
      <c r="AK4"/>
      <c r="AL4"/>
    </row>
    <row r="5" spans="1:38" ht="20.25">
      <c r="A5" s="62">
        <v>313</v>
      </c>
      <c r="B5" s="66" t="str">
        <f>INDYWIDUAL!B5</f>
        <v>Orzełowski Wojciech</v>
      </c>
      <c r="C5" s="14"/>
      <c r="D5" s="14"/>
      <c r="E5" s="14">
        <v>2</v>
      </c>
      <c r="F5" s="14">
        <v>2</v>
      </c>
      <c r="G5" s="14">
        <v>1</v>
      </c>
      <c r="H5" s="14">
        <v>1</v>
      </c>
      <c r="I5" s="14"/>
      <c r="J5" s="14"/>
      <c r="K5" s="14"/>
      <c r="L5" s="14">
        <v>2</v>
      </c>
      <c r="M5" s="14">
        <v>2</v>
      </c>
      <c r="N5" s="14">
        <v>1</v>
      </c>
      <c r="O5" s="14">
        <v>1</v>
      </c>
      <c r="P5" s="14"/>
      <c r="Q5" s="14"/>
      <c r="R5" s="14"/>
      <c r="S5" s="14">
        <v>2</v>
      </c>
      <c r="T5" s="14">
        <v>2</v>
      </c>
      <c r="U5" s="14">
        <v>1</v>
      </c>
      <c r="V5" s="14">
        <v>1</v>
      </c>
      <c r="W5" s="14"/>
      <c r="X5" s="14"/>
      <c r="Y5" s="14"/>
      <c r="Z5" s="14">
        <v>2</v>
      </c>
      <c r="AA5" s="14">
        <v>2</v>
      </c>
      <c r="AB5" s="14">
        <v>1</v>
      </c>
      <c r="AC5" s="14">
        <v>1</v>
      </c>
      <c r="AD5" s="14"/>
      <c r="AE5" s="14"/>
      <c r="AF5" s="14"/>
      <c r="AG5" s="14"/>
      <c r="AH5" s="10">
        <f t="shared" si="1"/>
        <v>24</v>
      </c>
      <c r="AI5" s="11">
        <f t="shared" ref="AI5" si="2">SUM(AH5:AH6)</f>
        <v>52</v>
      </c>
      <c r="AJ5" s="12">
        <f t="shared" ref="AJ5" si="3">PRODUCT(AI5/AI6)</f>
        <v>26</v>
      </c>
      <c r="AK5"/>
      <c r="AL5"/>
    </row>
    <row r="6" spans="1:38" ht="20.25">
      <c r="A6" s="62"/>
      <c r="B6" s="66" t="str">
        <f>INDYWIDUAL!B6</f>
        <v>Crystal Castillo</v>
      </c>
      <c r="C6" s="14"/>
      <c r="D6" s="14"/>
      <c r="E6" s="14">
        <v>2</v>
      </c>
      <c r="F6" s="14">
        <v>2</v>
      </c>
      <c r="G6" s="14">
        <v>2</v>
      </c>
      <c r="H6" s="14">
        <v>1</v>
      </c>
      <c r="I6" s="14"/>
      <c r="J6" s="14"/>
      <c r="K6" s="14"/>
      <c r="L6" s="14">
        <v>2</v>
      </c>
      <c r="M6" s="14">
        <v>2</v>
      </c>
      <c r="N6" s="14">
        <v>2</v>
      </c>
      <c r="O6" s="14">
        <v>1</v>
      </c>
      <c r="P6" s="14"/>
      <c r="Q6" s="14"/>
      <c r="R6" s="14"/>
      <c r="S6" s="14">
        <v>2</v>
      </c>
      <c r="T6" s="14">
        <v>2</v>
      </c>
      <c r="U6" s="14">
        <v>2</v>
      </c>
      <c r="V6" s="14">
        <v>1</v>
      </c>
      <c r="W6" s="14"/>
      <c r="X6" s="14"/>
      <c r="Y6" s="14"/>
      <c r="Z6" s="14">
        <v>2</v>
      </c>
      <c r="AA6" s="14">
        <v>2</v>
      </c>
      <c r="AB6" s="14">
        <v>2</v>
      </c>
      <c r="AC6" s="14">
        <v>1</v>
      </c>
      <c r="AD6" s="14"/>
      <c r="AE6" s="14"/>
      <c r="AF6" s="14"/>
      <c r="AG6" s="14"/>
      <c r="AH6" s="10">
        <f t="shared" si="1"/>
        <v>28</v>
      </c>
      <c r="AI6" s="11">
        <f t="shared" ref="AI6" si="4">COUNTA(B5:B6)</f>
        <v>2</v>
      </c>
      <c r="AJ6" s="13"/>
      <c r="AK6"/>
      <c r="AL6"/>
    </row>
    <row r="7" spans="1:38" ht="20.25">
      <c r="A7" s="58">
        <v>326</v>
      </c>
      <c r="B7" s="67" t="str">
        <f>INDYWIDUAL!B7</f>
        <v>Virginia Rivera</v>
      </c>
      <c r="C7" s="67"/>
      <c r="D7" s="17"/>
      <c r="E7" s="67">
        <v>3</v>
      </c>
      <c r="F7" s="17">
        <v>3</v>
      </c>
      <c r="G7" s="17">
        <v>3</v>
      </c>
      <c r="H7" s="17">
        <v>3</v>
      </c>
      <c r="I7" s="17"/>
      <c r="J7" s="17"/>
      <c r="K7" s="17"/>
      <c r="L7" s="67">
        <v>3</v>
      </c>
      <c r="M7" s="17">
        <v>3</v>
      </c>
      <c r="N7" s="17">
        <v>3</v>
      </c>
      <c r="O7" s="17">
        <v>3</v>
      </c>
      <c r="P7" s="17"/>
      <c r="Q7" s="17"/>
      <c r="R7" s="17"/>
      <c r="S7" s="67">
        <v>3</v>
      </c>
      <c r="T7" s="17">
        <v>3</v>
      </c>
      <c r="U7" s="17">
        <v>3</v>
      </c>
      <c r="V7" s="17">
        <v>3</v>
      </c>
      <c r="W7" s="17"/>
      <c r="X7" s="17"/>
      <c r="Y7" s="17"/>
      <c r="Z7" s="67">
        <v>3</v>
      </c>
      <c r="AA7" s="17">
        <v>3</v>
      </c>
      <c r="AB7" s="17">
        <v>3</v>
      </c>
      <c r="AC7" s="17">
        <v>3</v>
      </c>
      <c r="AD7" s="17"/>
      <c r="AE7" s="17"/>
      <c r="AF7" s="17"/>
      <c r="AG7" s="17"/>
      <c r="AH7" s="10">
        <f t="shared" si="1"/>
        <v>48</v>
      </c>
      <c r="AI7" s="11">
        <f>SUM(AH7:AH10)</f>
        <v>176</v>
      </c>
      <c r="AJ7" s="12">
        <f>PRODUCT(AI7/AI8)</f>
        <v>44</v>
      </c>
      <c r="AK7"/>
      <c r="AL7"/>
    </row>
    <row r="8" spans="1:38" ht="20.25">
      <c r="A8" s="58"/>
      <c r="B8" s="67" t="str">
        <f>INDYWIDUAL!B8</f>
        <v>Barbara McDonald</v>
      </c>
      <c r="C8" s="17"/>
      <c r="D8" s="17"/>
      <c r="E8" s="17">
        <v>3</v>
      </c>
      <c r="F8" s="17">
        <v>3</v>
      </c>
      <c r="G8" s="17">
        <v>3</v>
      </c>
      <c r="H8" s="17">
        <v>2</v>
      </c>
      <c r="I8" s="17"/>
      <c r="J8" s="17"/>
      <c r="K8" s="17"/>
      <c r="L8" s="17">
        <v>3</v>
      </c>
      <c r="M8" s="17">
        <v>3</v>
      </c>
      <c r="N8" s="17">
        <v>3</v>
      </c>
      <c r="O8" s="17">
        <v>2</v>
      </c>
      <c r="P8" s="17"/>
      <c r="Q8" s="17"/>
      <c r="R8" s="17"/>
      <c r="S8" s="17">
        <v>3</v>
      </c>
      <c r="T8" s="17">
        <v>3</v>
      </c>
      <c r="U8" s="17">
        <v>3</v>
      </c>
      <c r="V8" s="17">
        <v>2</v>
      </c>
      <c r="W8" s="17"/>
      <c r="X8" s="17"/>
      <c r="Y8" s="17"/>
      <c r="Z8" s="17">
        <v>3</v>
      </c>
      <c r="AA8" s="17">
        <v>3</v>
      </c>
      <c r="AB8" s="17">
        <v>3</v>
      </c>
      <c r="AC8" s="17">
        <v>2</v>
      </c>
      <c r="AD8" s="17"/>
      <c r="AE8" s="17"/>
      <c r="AF8" s="17"/>
      <c r="AG8" s="17"/>
      <c r="AH8" s="10">
        <f t="shared" si="1"/>
        <v>44</v>
      </c>
      <c r="AI8" s="11">
        <f>COUNTA(B7:B10)</f>
        <v>4</v>
      </c>
      <c r="AJ8" s="13"/>
      <c r="AK8"/>
      <c r="AL8"/>
    </row>
    <row r="9" spans="1:38" ht="20.25">
      <c r="A9" s="58"/>
      <c r="B9" s="67" t="str">
        <f>INDYWIDUAL!B9</f>
        <v>Gustáv Šlahor</v>
      </c>
      <c r="C9" s="17"/>
      <c r="D9" s="17"/>
      <c r="E9" s="17">
        <v>2</v>
      </c>
      <c r="F9" s="17">
        <v>3</v>
      </c>
      <c r="G9" s="17">
        <v>3</v>
      </c>
      <c r="H9" s="17">
        <v>2</v>
      </c>
      <c r="I9" s="17"/>
      <c r="J9" s="17"/>
      <c r="K9" s="17"/>
      <c r="L9" s="17">
        <v>2</v>
      </c>
      <c r="M9" s="17">
        <v>3</v>
      </c>
      <c r="N9" s="17">
        <v>3</v>
      </c>
      <c r="O9" s="17">
        <v>2</v>
      </c>
      <c r="P9" s="17"/>
      <c r="Q9" s="17"/>
      <c r="R9" s="17"/>
      <c r="S9" s="17">
        <v>2</v>
      </c>
      <c r="T9" s="17">
        <v>3</v>
      </c>
      <c r="U9" s="17">
        <v>3</v>
      </c>
      <c r="V9" s="17">
        <v>2</v>
      </c>
      <c r="W9" s="17"/>
      <c r="X9" s="17"/>
      <c r="Y9" s="17"/>
      <c r="Z9" s="17">
        <v>2</v>
      </c>
      <c r="AA9" s="17">
        <v>3</v>
      </c>
      <c r="AB9" s="17">
        <v>3</v>
      </c>
      <c r="AC9" s="17">
        <v>2</v>
      </c>
      <c r="AD9" s="17"/>
      <c r="AE9" s="17"/>
      <c r="AF9" s="17"/>
      <c r="AG9" s="17"/>
      <c r="AH9" s="10">
        <f t="shared" si="1"/>
        <v>40</v>
      </c>
      <c r="AI9" s="11"/>
      <c r="AJ9" s="13"/>
      <c r="AK9"/>
      <c r="AL9"/>
    </row>
    <row r="10" spans="1:38" ht="20.25">
      <c r="A10" s="58"/>
      <c r="B10" s="67" t="str">
        <f>INDYWIDUAL!B10</f>
        <v>Felipe Arroyo</v>
      </c>
      <c r="C10" s="17"/>
      <c r="D10" s="17"/>
      <c r="E10" s="17">
        <v>2</v>
      </c>
      <c r="F10" s="17">
        <v>3</v>
      </c>
      <c r="G10" s="17">
        <v>3</v>
      </c>
      <c r="H10" s="17">
        <v>3</v>
      </c>
      <c r="I10" s="17"/>
      <c r="J10" s="17"/>
      <c r="K10" s="17"/>
      <c r="L10" s="17">
        <v>2</v>
      </c>
      <c r="M10" s="17">
        <v>3</v>
      </c>
      <c r="N10" s="17">
        <v>3</v>
      </c>
      <c r="O10" s="17">
        <v>3</v>
      </c>
      <c r="P10" s="17"/>
      <c r="Q10" s="17"/>
      <c r="R10" s="17"/>
      <c r="S10" s="17">
        <v>2</v>
      </c>
      <c r="T10" s="17">
        <v>3</v>
      </c>
      <c r="U10" s="17">
        <v>3</v>
      </c>
      <c r="V10" s="17">
        <v>3</v>
      </c>
      <c r="W10" s="17"/>
      <c r="X10" s="17"/>
      <c r="Y10" s="17"/>
      <c r="Z10" s="17">
        <v>2</v>
      </c>
      <c r="AA10" s="17">
        <v>3</v>
      </c>
      <c r="AB10" s="17">
        <v>3</v>
      </c>
      <c r="AC10" s="17">
        <v>3</v>
      </c>
      <c r="AD10" s="17"/>
      <c r="AE10" s="17"/>
      <c r="AF10" s="17"/>
      <c r="AG10" s="17"/>
      <c r="AH10" s="10">
        <f t="shared" si="1"/>
        <v>44</v>
      </c>
      <c r="AK10"/>
      <c r="AL10"/>
    </row>
    <row r="11" spans="1:38" ht="20.25">
      <c r="A11" s="54">
        <v>320</v>
      </c>
      <c r="B11" s="68" t="str">
        <f>INDYWIDUAL!B11</f>
        <v>Flora Hodoș</v>
      </c>
      <c r="C11" s="8"/>
      <c r="D11" s="8"/>
      <c r="E11" s="8">
        <v>3</v>
      </c>
      <c r="F11" s="8">
        <v>3</v>
      </c>
      <c r="G11" s="8">
        <v>3</v>
      </c>
      <c r="H11" s="8">
        <v>3</v>
      </c>
      <c r="I11" s="8"/>
      <c r="J11" s="8"/>
      <c r="K11" s="8"/>
      <c r="L11" s="8">
        <v>3</v>
      </c>
      <c r="M11" s="8">
        <v>3</v>
      </c>
      <c r="N11" s="8">
        <v>3</v>
      </c>
      <c r="O11" s="8">
        <v>3</v>
      </c>
      <c r="P11" s="8"/>
      <c r="Q11" s="8"/>
      <c r="R11" s="8"/>
      <c r="S11" s="8">
        <v>3</v>
      </c>
      <c r="T11" s="8">
        <v>3</v>
      </c>
      <c r="U11" s="8">
        <v>3</v>
      </c>
      <c r="V11" s="8">
        <v>3</v>
      </c>
      <c r="W11" s="8"/>
      <c r="X11" s="8"/>
      <c r="Y11" s="8"/>
      <c r="Z11" s="8">
        <v>3</v>
      </c>
      <c r="AA11" s="8">
        <v>3</v>
      </c>
      <c r="AB11" s="8">
        <v>3</v>
      </c>
      <c r="AC11" s="8">
        <v>3</v>
      </c>
      <c r="AD11" s="8"/>
      <c r="AE11" s="8"/>
      <c r="AF11" s="8"/>
      <c r="AG11" s="8"/>
      <c r="AH11" s="10">
        <f t="shared" si="1"/>
        <v>48</v>
      </c>
      <c r="AI11" s="11">
        <f>SUM(AH11:AH12)</f>
        <v>96</v>
      </c>
      <c r="AJ11" s="12">
        <f>PRODUCT(AI11/AI12)</f>
        <v>48</v>
      </c>
      <c r="AK11"/>
      <c r="AL11"/>
    </row>
    <row r="12" spans="1:38" ht="20.25">
      <c r="A12" s="54"/>
      <c r="B12" s="68" t="str">
        <f>INDYWIDUAL!B12</f>
        <v>Felföldi Xaviér</v>
      </c>
      <c r="C12" s="8"/>
      <c r="D12" s="8"/>
      <c r="E12" s="8">
        <v>3</v>
      </c>
      <c r="F12" s="8">
        <v>3</v>
      </c>
      <c r="G12" s="8">
        <v>3</v>
      </c>
      <c r="H12" s="8">
        <v>3</v>
      </c>
      <c r="I12" s="8"/>
      <c r="J12" s="8"/>
      <c r="K12" s="8"/>
      <c r="L12" s="8">
        <v>3</v>
      </c>
      <c r="M12" s="8">
        <v>3</v>
      </c>
      <c r="N12" s="8">
        <v>3</v>
      </c>
      <c r="O12" s="8">
        <v>3</v>
      </c>
      <c r="P12" s="8"/>
      <c r="Q12" s="8"/>
      <c r="R12" s="8"/>
      <c r="S12" s="8">
        <v>3</v>
      </c>
      <c r="T12" s="8">
        <v>3</v>
      </c>
      <c r="U12" s="8">
        <v>3</v>
      </c>
      <c r="V12" s="8">
        <v>3</v>
      </c>
      <c r="W12" s="8"/>
      <c r="X12" s="8"/>
      <c r="Y12" s="8"/>
      <c r="Z12" s="8">
        <v>3</v>
      </c>
      <c r="AA12" s="8">
        <v>3</v>
      </c>
      <c r="AB12" s="8">
        <v>3</v>
      </c>
      <c r="AC12" s="8">
        <v>3</v>
      </c>
      <c r="AD12" s="8"/>
      <c r="AE12" s="8"/>
      <c r="AF12" s="8"/>
      <c r="AG12" s="8"/>
      <c r="AH12" s="10">
        <f t="shared" si="1"/>
        <v>48</v>
      </c>
      <c r="AI12" s="11">
        <f>COUNTA(B11:B12)</f>
        <v>2</v>
      </c>
      <c r="AJ12" s="13"/>
      <c r="AK12"/>
      <c r="AL12"/>
    </row>
    <row r="13" spans="1:38" ht="20.25">
      <c r="A13" s="55">
        <v>321</v>
      </c>
      <c r="B13" s="66" t="str">
        <f>INDYWIDUAL!B13</f>
        <v>ნანი კობახიძე</v>
      </c>
      <c r="C13" s="14"/>
      <c r="D13" s="14"/>
      <c r="E13" s="14">
        <v>1</v>
      </c>
      <c r="F13" s="14">
        <v>1</v>
      </c>
      <c r="G13" s="14">
        <v>1</v>
      </c>
      <c r="H13" s="14">
        <v>1</v>
      </c>
      <c r="I13" s="14"/>
      <c r="J13" s="14"/>
      <c r="K13" s="14"/>
      <c r="L13" s="14">
        <v>1</v>
      </c>
      <c r="M13" s="14">
        <v>1</v>
      </c>
      <c r="N13" s="14">
        <v>1</v>
      </c>
      <c r="O13" s="14">
        <v>1</v>
      </c>
      <c r="P13" s="14"/>
      <c r="Q13" s="14"/>
      <c r="R13" s="14"/>
      <c r="S13" s="14">
        <v>1</v>
      </c>
      <c r="T13" s="14">
        <v>1</v>
      </c>
      <c r="U13" s="14">
        <v>1</v>
      </c>
      <c r="V13" s="14">
        <v>1</v>
      </c>
      <c r="W13" s="14"/>
      <c r="X13" s="14"/>
      <c r="Y13" s="14"/>
      <c r="Z13" s="14">
        <v>1</v>
      </c>
      <c r="AA13" s="14">
        <v>1</v>
      </c>
      <c r="AB13" s="14">
        <v>1</v>
      </c>
      <c r="AC13" s="14">
        <v>1</v>
      </c>
      <c r="AD13" s="14"/>
      <c r="AE13" s="14"/>
      <c r="AF13" s="14"/>
      <c r="AG13" s="14"/>
      <c r="AH13" s="10">
        <f t="shared" si="1"/>
        <v>16</v>
      </c>
      <c r="AI13" s="11">
        <f>SUM(AH13:AH14)</f>
        <v>48</v>
      </c>
      <c r="AJ13" s="12">
        <f>PRODUCT(AI13/AI14)</f>
        <v>24</v>
      </c>
      <c r="AK13"/>
      <c r="AL13"/>
    </row>
    <row r="14" spans="1:38" ht="20.25">
      <c r="A14" s="55"/>
      <c r="B14" s="66" t="str">
        <f>INDYWIDUAL!B14</f>
        <v>Horea Agârbiceanu</v>
      </c>
      <c r="C14" s="14"/>
      <c r="D14" s="14"/>
      <c r="E14" s="14">
        <v>2</v>
      </c>
      <c r="F14" s="14">
        <v>2</v>
      </c>
      <c r="G14" s="14">
        <v>2</v>
      </c>
      <c r="H14" s="14">
        <v>2</v>
      </c>
      <c r="I14" s="14"/>
      <c r="J14" s="14"/>
      <c r="K14" s="14"/>
      <c r="L14" s="14">
        <v>2</v>
      </c>
      <c r="M14" s="14">
        <v>2</v>
      </c>
      <c r="N14" s="14">
        <v>2</v>
      </c>
      <c r="O14" s="14">
        <v>2</v>
      </c>
      <c r="P14" s="14"/>
      <c r="Q14" s="14"/>
      <c r="R14" s="14"/>
      <c r="S14" s="14">
        <v>2</v>
      </c>
      <c r="T14" s="14">
        <v>2</v>
      </c>
      <c r="U14" s="14">
        <v>2</v>
      </c>
      <c r="V14" s="14">
        <v>2</v>
      </c>
      <c r="W14" s="14"/>
      <c r="X14" s="14"/>
      <c r="Y14" s="14"/>
      <c r="Z14" s="14">
        <v>2</v>
      </c>
      <c r="AA14" s="14">
        <v>2</v>
      </c>
      <c r="AB14" s="14">
        <v>2</v>
      </c>
      <c r="AC14" s="14">
        <v>2</v>
      </c>
      <c r="AD14" s="14"/>
      <c r="AE14" s="14"/>
      <c r="AF14" s="14"/>
      <c r="AG14" s="14"/>
      <c r="AH14" s="10">
        <f t="shared" si="1"/>
        <v>32</v>
      </c>
      <c r="AI14" s="11">
        <f>COUNTA(B13:B14)</f>
        <v>2</v>
      </c>
      <c r="AJ14" s="13"/>
      <c r="AK14"/>
      <c r="AL14"/>
    </row>
    <row r="15" spans="1:38" ht="20.25">
      <c r="A15" s="56">
        <v>322</v>
      </c>
      <c r="B15" s="64" t="str">
        <f>INDYWIDUAL!B15</f>
        <v>Caius Câmpineanu</v>
      </c>
      <c r="C15" s="15"/>
      <c r="D15" s="15"/>
      <c r="E15" s="15">
        <v>1</v>
      </c>
      <c r="F15" s="15">
        <v>1</v>
      </c>
      <c r="G15" s="15">
        <v>1</v>
      </c>
      <c r="H15" s="15">
        <v>1</v>
      </c>
      <c r="I15" s="15"/>
      <c r="J15" s="15"/>
      <c r="K15" s="15"/>
      <c r="L15" s="15">
        <v>1</v>
      </c>
      <c r="M15" s="15">
        <v>1</v>
      </c>
      <c r="N15" s="15">
        <v>1</v>
      </c>
      <c r="O15" s="15">
        <v>1</v>
      </c>
      <c r="P15" s="15"/>
      <c r="Q15" s="15"/>
      <c r="R15" s="15"/>
      <c r="S15" s="15">
        <v>1</v>
      </c>
      <c r="T15" s="15">
        <v>1</v>
      </c>
      <c r="U15" s="15">
        <v>1</v>
      </c>
      <c r="V15" s="15">
        <v>1</v>
      </c>
      <c r="W15" s="15"/>
      <c r="X15" s="15"/>
      <c r="Y15" s="15"/>
      <c r="Z15" s="15">
        <v>1</v>
      </c>
      <c r="AA15" s="15">
        <v>1</v>
      </c>
      <c r="AB15" s="15">
        <v>1</v>
      </c>
      <c r="AC15" s="15">
        <v>1</v>
      </c>
      <c r="AD15" s="15"/>
      <c r="AE15" s="15"/>
      <c r="AF15" s="15"/>
      <c r="AG15" s="15"/>
      <c r="AH15" s="10">
        <f t="shared" si="1"/>
        <v>16</v>
      </c>
      <c r="AI15" s="11">
        <f>SUM(AH15:AH16)</f>
        <v>32</v>
      </c>
      <c r="AJ15" s="12">
        <f>PRODUCT(AI15/AI16)</f>
        <v>16</v>
      </c>
      <c r="AK15"/>
      <c r="AL15"/>
    </row>
    <row r="16" spans="1:38" ht="20.25">
      <c r="A16" s="56"/>
      <c r="B16" s="64" t="str">
        <f>INDYWIDUAL!B16</f>
        <v>Rüya Öcal</v>
      </c>
      <c r="C16" s="15"/>
      <c r="D16" s="15"/>
      <c r="E16" s="15">
        <v>1</v>
      </c>
      <c r="F16" s="15">
        <v>1</v>
      </c>
      <c r="G16" s="15">
        <v>1</v>
      </c>
      <c r="H16" s="15">
        <v>1</v>
      </c>
      <c r="I16" s="15"/>
      <c r="J16" s="15"/>
      <c r="K16" s="15"/>
      <c r="L16" s="15">
        <v>1</v>
      </c>
      <c r="M16" s="15">
        <v>1</v>
      </c>
      <c r="N16" s="15">
        <v>1</v>
      </c>
      <c r="O16" s="15">
        <v>1</v>
      </c>
      <c r="P16" s="15"/>
      <c r="Q16" s="15"/>
      <c r="R16" s="15"/>
      <c r="S16" s="15">
        <v>1</v>
      </c>
      <c r="T16" s="15">
        <v>1</v>
      </c>
      <c r="U16" s="15">
        <v>1</v>
      </c>
      <c r="V16" s="15">
        <v>1</v>
      </c>
      <c r="W16" s="15"/>
      <c r="X16" s="15"/>
      <c r="Y16" s="15"/>
      <c r="Z16" s="15">
        <v>1</v>
      </c>
      <c r="AA16" s="15">
        <v>1</v>
      </c>
      <c r="AB16" s="15">
        <v>1</v>
      </c>
      <c r="AC16" s="15">
        <v>1</v>
      </c>
      <c r="AD16" s="15"/>
      <c r="AE16" s="15"/>
      <c r="AF16" s="15"/>
      <c r="AG16" s="15"/>
      <c r="AH16" s="10">
        <f t="shared" si="1"/>
        <v>16</v>
      </c>
      <c r="AI16" s="11">
        <f>COUNTA(B15:B16)</f>
        <v>2</v>
      </c>
      <c r="AJ16" s="13"/>
      <c r="AK16"/>
      <c r="AL16"/>
    </row>
    <row r="17" spans="1:38" ht="20.25">
      <c r="A17" s="57">
        <v>323</v>
      </c>
      <c r="B17" s="65" t="str">
        <f>INDYWIDUAL!B17</f>
        <v>Bhim Khan</v>
      </c>
      <c r="C17" s="16"/>
      <c r="D17" s="16"/>
      <c r="E17" s="16">
        <v>2</v>
      </c>
      <c r="F17" s="16">
        <v>2</v>
      </c>
      <c r="G17" s="16">
        <v>2</v>
      </c>
      <c r="H17" s="16">
        <v>2</v>
      </c>
      <c r="I17" s="16"/>
      <c r="J17" s="16"/>
      <c r="K17" s="16"/>
      <c r="L17" s="16">
        <v>2</v>
      </c>
      <c r="M17" s="16">
        <v>2</v>
      </c>
      <c r="N17" s="16">
        <v>2</v>
      </c>
      <c r="O17" s="16">
        <v>2</v>
      </c>
      <c r="P17" s="16"/>
      <c r="Q17" s="16"/>
      <c r="R17" s="16"/>
      <c r="S17" s="16">
        <v>2</v>
      </c>
      <c r="T17" s="16">
        <v>2</v>
      </c>
      <c r="U17" s="16">
        <v>2</v>
      </c>
      <c r="V17" s="16">
        <v>2</v>
      </c>
      <c r="W17" s="16"/>
      <c r="X17" s="16"/>
      <c r="Y17" s="16"/>
      <c r="Z17" s="16">
        <v>2</v>
      </c>
      <c r="AA17" s="16">
        <v>2</v>
      </c>
      <c r="AB17" s="16">
        <v>2</v>
      </c>
      <c r="AC17" s="16">
        <v>2</v>
      </c>
      <c r="AD17" s="16"/>
      <c r="AE17" s="16"/>
      <c r="AF17" s="16"/>
      <c r="AG17" s="16"/>
      <c r="AH17" s="10">
        <f t="shared" si="1"/>
        <v>32</v>
      </c>
      <c r="AI17" s="11">
        <f>SUM(AH17:AH19)</f>
        <v>96</v>
      </c>
      <c r="AJ17" s="12">
        <f>PRODUCT(AI17/AI18)</f>
        <v>32</v>
      </c>
      <c r="AK17"/>
      <c r="AL17"/>
    </row>
    <row r="18" spans="1:38" ht="20.25">
      <c r="A18" s="57"/>
      <c r="B18" s="65" t="str">
        <f>INDYWIDUAL!B18</f>
        <v>Διγενής Αλεβιζόπουλος</v>
      </c>
      <c r="C18" s="16"/>
      <c r="D18" s="16"/>
      <c r="E18" s="16">
        <v>2</v>
      </c>
      <c r="F18" s="16">
        <v>2</v>
      </c>
      <c r="G18" s="16">
        <v>2</v>
      </c>
      <c r="H18" s="16">
        <v>2</v>
      </c>
      <c r="I18" s="16"/>
      <c r="J18" s="16"/>
      <c r="K18" s="16"/>
      <c r="L18" s="16">
        <v>2</v>
      </c>
      <c r="M18" s="16">
        <v>2</v>
      </c>
      <c r="N18" s="16">
        <v>2</v>
      </c>
      <c r="O18" s="16">
        <v>2</v>
      </c>
      <c r="P18" s="16"/>
      <c r="Q18" s="16"/>
      <c r="R18" s="16"/>
      <c r="S18" s="16">
        <v>2</v>
      </c>
      <c r="T18" s="16">
        <v>2</v>
      </c>
      <c r="U18" s="16">
        <v>2</v>
      </c>
      <c r="V18" s="16">
        <v>2</v>
      </c>
      <c r="W18" s="16"/>
      <c r="X18" s="16"/>
      <c r="Y18" s="16"/>
      <c r="Z18" s="16">
        <v>2</v>
      </c>
      <c r="AA18" s="16">
        <v>2</v>
      </c>
      <c r="AB18" s="16">
        <v>2</v>
      </c>
      <c r="AC18" s="16">
        <v>2</v>
      </c>
      <c r="AD18" s="16"/>
      <c r="AE18" s="16"/>
      <c r="AF18" s="16"/>
      <c r="AG18" s="16"/>
      <c r="AH18" s="10">
        <f t="shared" si="1"/>
        <v>32</v>
      </c>
      <c r="AI18" s="11">
        <f>COUNTA(B17:B19)</f>
        <v>3</v>
      </c>
      <c r="AJ18" s="13"/>
      <c r="AK18"/>
      <c r="AL18"/>
    </row>
    <row r="19" spans="1:38" ht="20.25">
      <c r="A19" s="57"/>
      <c r="B19" s="65" t="str">
        <f>INDYWIDUAL!B19</f>
        <v>Ιππόλυτος Αλεξανδρίδης</v>
      </c>
      <c r="C19" s="16"/>
      <c r="D19" s="16"/>
      <c r="E19" s="16">
        <v>2</v>
      </c>
      <c r="F19" s="16">
        <v>2</v>
      </c>
      <c r="G19" s="16">
        <v>2</v>
      </c>
      <c r="H19" s="16">
        <v>2</v>
      </c>
      <c r="I19" s="16"/>
      <c r="J19" s="16"/>
      <c r="K19" s="16"/>
      <c r="L19" s="16">
        <v>2</v>
      </c>
      <c r="M19" s="16">
        <v>2</v>
      </c>
      <c r="N19" s="16">
        <v>2</v>
      </c>
      <c r="O19" s="16">
        <v>2</v>
      </c>
      <c r="P19" s="16"/>
      <c r="Q19" s="16"/>
      <c r="R19" s="16"/>
      <c r="S19" s="16">
        <v>2</v>
      </c>
      <c r="T19" s="16">
        <v>2</v>
      </c>
      <c r="U19" s="16">
        <v>2</v>
      </c>
      <c r="V19" s="16">
        <v>2</v>
      </c>
      <c r="W19" s="16"/>
      <c r="X19" s="16"/>
      <c r="Y19" s="16"/>
      <c r="Z19" s="16">
        <v>2</v>
      </c>
      <c r="AA19" s="16">
        <v>2</v>
      </c>
      <c r="AB19" s="16">
        <v>2</v>
      </c>
      <c r="AC19" s="16">
        <v>2</v>
      </c>
      <c r="AD19" s="16"/>
      <c r="AE19" s="16"/>
      <c r="AF19" s="16"/>
      <c r="AG19" s="16"/>
      <c r="AH19" s="10">
        <f t="shared" si="1"/>
        <v>32</v>
      </c>
      <c r="AI19" s="11"/>
      <c r="AJ19" s="13"/>
      <c r="AK19"/>
      <c r="AL19"/>
    </row>
    <row r="20" spans="1:38" ht="20.25">
      <c r="A20" s="58">
        <v>326</v>
      </c>
      <c r="B20" s="67" t="str">
        <f>INDYWIDUAL!B20</f>
        <v>Caterina Almaș</v>
      </c>
      <c r="C20" s="17"/>
      <c r="D20" s="17"/>
      <c r="E20" s="17">
        <v>3</v>
      </c>
      <c r="F20" s="17">
        <v>3</v>
      </c>
      <c r="G20" s="17">
        <v>3</v>
      </c>
      <c r="H20" s="17">
        <v>3</v>
      </c>
      <c r="I20" s="17"/>
      <c r="J20" s="17"/>
      <c r="K20" s="17"/>
      <c r="L20" s="17">
        <v>3</v>
      </c>
      <c r="M20" s="17">
        <v>3</v>
      </c>
      <c r="N20" s="17">
        <v>3</v>
      </c>
      <c r="O20" s="17">
        <v>3</v>
      </c>
      <c r="P20" s="17"/>
      <c r="Q20" s="17"/>
      <c r="R20" s="17"/>
      <c r="S20" s="17">
        <v>3</v>
      </c>
      <c r="T20" s="17">
        <v>3</v>
      </c>
      <c r="U20" s="17">
        <v>3</v>
      </c>
      <c r="V20" s="17">
        <v>3</v>
      </c>
      <c r="W20" s="17"/>
      <c r="X20" s="17"/>
      <c r="Y20" s="17"/>
      <c r="Z20" s="17">
        <v>3</v>
      </c>
      <c r="AA20" s="17">
        <v>3</v>
      </c>
      <c r="AB20" s="17">
        <v>3</v>
      </c>
      <c r="AC20" s="17">
        <v>3</v>
      </c>
      <c r="AD20" s="17"/>
      <c r="AE20" s="17"/>
      <c r="AF20" s="17"/>
      <c r="AG20" s="17"/>
      <c r="AH20" s="10">
        <f t="shared" si="1"/>
        <v>48</v>
      </c>
      <c r="AI20" s="11">
        <f>SUM(AH20:AH22)</f>
        <v>144</v>
      </c>
      <c r="AJ20" s="12">
        <f>PRODUCT(AI20/AI21)</f>
        <v>48</v>
      </c>
      <c r="AK20"/>
      <c r="AL20"/>
    </row>
    <row r="21" spans="1:38" ht="20.25">
      <c r="A21" s="58"/>
      <c r="B21" s="67" t="str">
        <f>INDYWIDUAL!B21</f>
        <v>Davy Tom</v>
      </c>
      <c r="C21" s="17"/>
      <c r="D21" s="17"/>
      <c r="E21" s="17">
        <v>3</v>
      </c>
      <c r="F21" s="17">
        <v>3</v>
      </c>
      <c r="G21" s="17">
        <v>3</v>
      </c>
      <c r="H21" s="17">
        <v>3</v>
      </c>
      <c r="I21" s="17"/>
      <c r="J21" s="17"/>
      <c r="K21" s="17"/>
      <c r="L21" s="17">
        <v>3</v>
      </c>
      <c r="M21" s="17">
        <v>3</v>
      </c>
      <c r="N21" s="17">
        <v>3</v>
      </c>
      <c r="O21" s="17">
        <v>3</v>
      </c>
      <c r="P21" s="17"/>
      <c r="Q21" s="17"/>
      <c r="R21" s="17"/>
      <c r="S21" s="17">
        <v>3</v>
      </c>
      <c r="T21" s="17">
        <v>3</v>
      </c>
      <c r="U21" s="17">
        <v>3</v>
      </c>
      <c r="V21" s="17">
        <v>3</v>
      </c>
      <c r="W21" s="17"/>
      <c r="X21" s="17"/>
      <c r="Y21" s="17"/>
      <c r="Z21" s="17">
        <v>3</v>
      </c>
      <c r="AA21" s="17">
        <v>3</v>
      </c>
      <c r="AB21" s="17">
        <v>3</v>
      </c>
      <c r="AC21" s="17">
        <v>3</v>
      </c>
      <c r="AD21" s="17"/>
      <c r="AE21" s="17"/>
      <c r="AF21" s="17"/>
      <c r="AG21" s="17"/>
      <c r="AH21" s="10">
        <f t="shared" si="1"/>
        <v>48</v>
      </c>
      <c r="AI21" s="11">
        <f>COUNTA(B20:B22)</f>
        <v>3</v>
      </c>
      <c r="AJ21" s="13"/>
      <c r="AK21"/>
      <c r="AL21"/>
    </row>
    <row r="22" spans="1:38" ht="20.25">
      <c r="A22" s="58"/>
      <c r="B22" s="67" t="str">
        <f>INDYWIDUAL!B22</f>
        <v>Ambróz Šimko</v>
      </c>
      <c r="C22" s="17"/>
      <c r="D22" s="17"/>
      <c r="E22" s="17">
        <v>3</v>
      </c>
      <c r="F22" s="17">
        <v>3</v>
      </c>
      <c r="G22" s="17">
        <v>3</v>
      </c>
      <c r="H22" s="17">
        <v>3</v>
      </c>
      <c r="I22" s="17"/>
      <c r="J22" s="17"/>
      <c r="K22" s="17"/>
      <c r="L22" s="17">
        <v>3</v>
      </c>
      <c r="M22" s="17">
        <v>3</v>
      </c>
      <c r="N22" s="17">
        <v>3</v>
      </c>
      <c r="O22" s="17">
        <v>3</v>
      </c>
      <c r="P22" s="17"/>
      <c r="Q22" s="17"/>
      <c r="R22" s="17"/>
      <c r="S22" s="17">
        <v>3</v>
      </c>
      <c r="T22" s="17">
        <v>3</v>
      </c>
      <c r="U22" s="17">
        <v>3</v>
      </c>
      <c r="V22" s="17">
        <v>3</v>
      </c>
      <c r="W22" s="17"/>
      <c r="X22" s="17"/>
      <c r="Y22" s="17"/>
      <c r="Z22" s="17">
        <v>3</v>
      </c>
      <c r="AA22" s="17">
        <v>3</v>
      </c>
      <c r="AB22" s="17">
        <v>3</v>
      </c>
      <c r="AC22" s="17">
        <v>3</v>
      </c>
      <c r="AD22" s="17"/>
      <c r="AE22" s="17"/>
      <c r="AF22" s="17"/>
      <c r="AG22" s="17"/>
      <c r="AH22" s="10">
        <f t="shared" si="1"/>
        <v>48</v>
      </c>
      <c r="AI22" s="11"/>
      <c r="AJ22" s="13"/>
      <c r="AK22"/>
      <c r="AL22"/>
    </row>
    <row r="23" spans="1:38" ht="20.25">
      <c r="A23" s="59">
        <v>328</v>
      </c>
      <c r="B23" s="70" t="str">
        <f>INDYWIDUAL!B23</f>
        <v>Viorela Stănculescu</v>
      </c>
      <c r="C23" s="18"/>
      <c r="D23" s="18"/>
      <c r="E23" s="18">
        <v>2</v>
      </c>
      <c r="F23" s="18">
        <v>2</v>
      </c>
      <c r="G23" s="18">
        <v>2</v>
      </c>
      <c r="H23" s="18">
        <v>2</v>
      </c>
      <c r="I23" s="18"/>
      <c r="J23" s="18"/>
      <c r="K23" s="18"/>
      <c r="L23" s="18">
        <v>2</v>
      </c>
      <c r="M23" s="18">
        <v>2</v>
      </c>
      <c r="N23" s="18">
        <v>2</v>
      </c>
      <c r="O23" s="18">
        <v>2</v>
      </c>
      <c r="P23" s="18"/>
      <c r="Q23" s="18"/>
      <c r="R23" s="18"/>
      <c r="S23" s="18">
        <v>2</v>
      </c>
      <c r="T23" s="18">
        <v>2</v>
      </c>
      <c r="U23" s="18">
        <v>2</v>
      </c>
      <c r="V23" s="18">
        <v>2</v>
      </c>
      <c r="W23" s="18"/>
      <c r="X23" s="18"/>
      <c r="Y23" s="18"/>
      <c r="Z23" s="18">
        <v>2</v>
      </c>
      <c r="AA23" s="18">
        <v>2</v>
      </c>
      <c r="AB23" s="18">
        <v>2</v>
      </c>
      <c r="AC23" s="18">
        <v>2</v>
      </c>
      <c r="AD23" s="18"/>
      <c r="AE23" s="18"/>
      <c r="AF23" s="18"/>
      <c r="AG23" s="18"/>
      <c r="AH23" s="10">
        <f t="shared" si="1"/>
        <v>32</v>
      </c>
      <c r="AI23" s="11">
        <f>SUM(AH23:AH25)</f>
        <v>96</v>
      </c>
      <c r="AJ23" s="12">
        <f>PRODUCT(AI23/AI24)</f>
        <v>32</v>
      </c>
      <c r="AK23"/>
      <c r="AL23"/>
    </row>
    <row r="24" spans="1:38" ht="20.25">
      <c r="A24" s="59"/>
      <c r="B24" s="70" t="str">
        <f>INDYWIDUAL!B24</f>
        <v>Chu Kim</v>
      </c>
      <c r="C24" s="18"/>
      <c r="D24" s="18"/>
      <c r="E24" s="18">
        <v>2</v>
      </c>
      <c r="F24" s="18">
        <v>2</v>
      </c>
      <c r="G24" s="18">
        <v>2</v>
      </c>
      <c r="H24" s="18">
        <v>2</v>
      </c>
      <c r="I24" s="18"/>
      <c r="J24" s="18"/>
      <c r="K24" s="18"/>
      <c r="L24" s="18">
        <v>2</v>
      </c>
      <c r="M24" s="18">
        <v>2</v>
      </c>
      <c r="N24" s="18">
        <v>2</v>
      </c>
      <c r="O24" s="18">
        <v>2</v>
      </c>
      <c r="P24" s="18"/>
      <c r="Q24" s="18"/>
      <c r="R24" s="18"/>
      <c r="S24" s="18">
        <v>2</v>
      </c>
      <c r="T24" s="18">
        <v>2</v>
      </c>
      <c r="U24" s="18">
        <v>2</v>
      </c>
      <c r="V24" s="18">
        <v>2</v>
      </c>
      <c r="W24" s="18"/>
      <c r="X24" s="18"/>
      <c r="Y24" s="18"/>
      <c r="Z24" s="18">
        <v>2</v>
      </c>
      <c r="AA24" s="18">
        <v>2</v>
      </c>
      <c r="AB24" s="18">
        <v>2</v>
      </c>
      <c r="AC24" s="18">
        <v>2</v>
      </c>
      <c r="AD24" s="18"/>
      <c r="AE24" s="18"/>
      <c r="AF24" s="18"/>
      <c r="AG24" s="18"/>
      <c r="AH24" s="10">
        <f t="shared" si="1"/>
        <v>32</v>
      </c>
      <c r="AI24" s="11">
        <f>COUNTA(B23:B25)</f>
        <v>3</v>
      </c>
      <c r="AJ24" s="13"/>
      <c r="AK24"/>
      <c r="AL24"/>
    </row>
    <row r="25" spans="1:38" ht="20.25">
      <c r="A25" s="59"/>
      <c r="B25" s="70" t="str">
        <f>INDYWIDUAL!B25</f>
        <v>Arif Haque</v>
      </c>
      <c r="C25" s="18"/>
      <c r="D25" s="18"/>
      <c r="E25" s="18">
        <v>2</v>
      </c>
      <c r="F25" s="18">
        <v>2</v>
      </c>
      <c r="G25" s="18">
        <v>2</v>
      </c>
      <c r="H25" s="18">
        <v>2</v>
      </c>
      <c r="I25" s="18"/>
      <c r="J25" s="18"/>
      <c r="K25" s="18"/>
      <c r="L25" s="18">
        <v>2</v>
      </c>
      <c r="M25" s="18">
        <v>2</v>
      </c>
      <c r="N25" s="18">
        <v>2</v>
      </c>
      <c r="O25" s="18">
        <v>2</v>
      </c>
      <c r="P25" s="18"/>
      <c r="Q25" s="18"/>
      <c r="R25" s="18"/>
      <c r="S25" s="18">
        <v>2</v>
      </c>
      <c r="T25" s="18">
        <v>2</v>
      </c>
      <c r="U25" s="18">
        <v>2</v>
      </c>
      <c r="V25" s="18">
        <v>2</v>
      </c>
      <c r="W25" s="18"/>
      <c r="X25" s="18"/>
      <c r="Y25" s="18"/>
      <c r="Z25" s="18">
        <v>2</v>
      </c>
      <c r="AA25" s="18">
        <v>2</v>
      </c>
      <c r="AB25" s="18">
        <v>2</v>
      </c>
      <c r="AC25" s="18">
        <v>2</v>
      </c>
      <c r="AD25" s="18"/>
      <c r="AE25" s="18"/>
      <c r="AF25" s="18"/>
      <c r="AG25" s="18"/>
      <c r="AH25" s="10">
        <f t="shared" si="1"/>
        <v>32</v>
      </c>
      <c r="AI25" s="11"/>
      <c r="AJ25" s="13"/>
      <c r="AK25"/>
      <c r="AL25"/>
    </row>
    <row r="26" spans="1:38" ht="20.25">
      <c r="A26" s="60">
        <v>329</v>
      </c>
      <c r="B26" s="64" t="str">
        <f>INDYWIDUAL!B26</f>
        <v>Jean Muscă</v>
      </c>
      <c r="C26" s="19"/>
      <c r="D26" s="19"/>
      <c r="E26" s="19">
        <v>3</v>
      </c>
      <c r="F26" s="19">
        <v>3</v>
      </c>
      <c r="G26" s="19">
        <v>3</v>
      </c>
      <c r="H26" s="19">
        <v>3</v>
      </c>
      <c r="I26" s="19"/>
      <c r="J26" s="19"/>
      <c r="K26" s="19"/>
      <c r="L26" s="19">
        <v>3</v>
      </c>
      <c r="M26" s="19">
        <v>3</v>
      </c>
      <c r="N26" s="19">
        <v>3</v>
      </c>
      <c r="O26" s="19">
        <v>3</v>
      </c>
      <c r="P26" s="19"/>
      <c r="Q26" s="19"/>
      <c r="R26" s="19"/>
      <c r="S26" s="19">
        <v>3</v>
      </c>
      <c r="T26" s="19">
        <v>3</v>
      </c>
      <c r="U26" s="19">
        <v>3</v>
      </c>
      <c r="V26" s="19">
        <v>3</v>
      </c>
      <c r="W26" s="19"/>
      <c r="X26" s="19"/>
      <c r="Y26" s="19"/>
      <c r="Z26" s="19">
        <v>3</v>
      </c>
      <c r="AA26" s="19">
        <v>3</v>
      </c>
      <c r="AB26" s="19">
        <v>3</v>
      </c>
      <c r="AC26" s="19">
        <v>3</v>
      </c>
      <c r="AD26" s="19"/>
      <c r="AE26" s="19"/>
      <c r="AF26" s="19"/>
      <c r="AG26" s="19"/>
      <c r="AH26" s="10">
        <f t="shared" si="1"/>
        <v>48</v>
      </c>
      <c r="AI26" s="11">
        <f>SUM(AH26:AH28)</f>
        <v>144</v>
      </c>
      <c r="AJ26" s="12">
        <f>PRODUCT(AI26/AI27)</f>
        <v>48</v>
      </c>
      <c r="AK26"/>
      <c r="AL26"/>
    </row>
    <row r="27" spans="1:38" ht="20.25">
      <c r="A27" s="60"/>
      <c r="B27" s="64" t="str">
        <f>INDYWIDUAL!B27</f>
        <v>Ηλιόδωρος Αντωνόπουλος</v>
      </c>
      <c r="C27" s="19"/>
      <c r="D27" s="19"/>
      <c r="E27" s="19">
        <v>3</v>
      </c>
      <c r="F27" s="19">
        <v>3</v>
      </c>
      <c r="G27" s="19">
        <v>3</v>
      </c>
      <c r="H27" s="19">
        <v>3</v>
      </c>
      <c r="I27" s="19"/>
      <c r="J27" s="19"/>
      <c r="K27" s="19"/>
      <c r="L27" s="19">
        <v>3</v>
      </c>
      <c r="M27" s="19">
        <v>3</v>
      </c>
      <c r="N27" s="19">
        <v>3</v>
      </c>
      <c r="O27" s="19">
        <v>3</v>
      </c>
      <c r="P27" s="19"/>
      <c r="Q27" s="19"/>
      <c r="R27" s="19"/>
      <c r="S27" s="19">
        <v>3</v>
      </c>
      <c r="T27" s="19">
        <v>3</v>
      </c>
      <c r="U27" s="19">
        <v>3</v>
      </c>
      <c r="V27" s="19">
        <v>3</v>
      </c>
      <c r="W27" s="19"/>
      <c r="X27" s="19"/>
      <c r="Y27" s="19"/>
      <c r="Z27" s="19">
        <v>3</v>
      </c>
      <c r="AA27" s="19">
        <v>3</v>
      </c>
      <c r="AB27" s="19">
        <v>3</v>
      </c>
      <c r="AC27" s="19">
        <v>3</v>
      </c>
      <c r="AD27" s="19"/>
      <c r="AE27" s="19"/>
      <c r="AF27" s="19"/>
      <c r="AG27" s="19"/>
      <c r="AH27" s="10">
        <f t="shared" si="1"/>
        <v>48</v>
      </c>
      <c r="AI27" s="11">
        <f>COUNTA(B26:B28)</f>
        <v>3</v>
      </c>
      <c r="AJ27" s="13"/>
      <c r="AK27"/>
      <c r="AL27"/>
    </row>
    <row r="28" spans="1:38" ht="20.25">
      <c r="A28" s="60"/>
      <c r="B28" s="64" t="str">
        <f>INDYWIDUAL!B28</f>
        <v>Male from Mexico</v>
      </c>
      <c r="C28" s="19"/>
      <c r="D28" s="19"/>
      <c r="E28" s="19">
        <v>3</v>
      </c>
      <c r="F28" s="19">
        <v>3</v>
      </c>
      <c r="G28" s="19">
        <v>3</v>
      </c>
      <c r="H28" s="19">
        <v>3</v>
      </c>
      <c r="I28" s="19"/>
      <c r="J28" s="19"/>
      <c r="K28" s="19"/>
      <c r="L28" s="19">
        <v>3</v>
      </c>
      <c r="M28" s="19">
        <v>3</v>
      </c>
      <c r="N28" s="19">
        <v>3</v>
      </c>
      <c r="O28" s="19">
        <v>3</v>
      </c>
      <c r="P28" s="19"/>
      <c r="Q28" s="19"/>
      <c r="R28" s="19"/>
      <c r="S28" s="19">
        <v>3</v>
      </c>
      <c r="T28" s="19">
        <v>3</v>
      </c>
      <c r="U28" s="19">
        <v>3</v>
      </c>
      <c r="V28" s="19">
        <v>3</v>
      </c>
      <c r="W28" s="19"/>
      <c r="X28" s="19"/>
      <c r="Y28" s="19"/>
      <c r="Z28" s="19">
        <v>3</v>
      </c>
      <c r="AA28" s="19">
        <v>3</v>
      </c>
      <c r="AB28" s="19">
        <v>3</v>
      </c>
      <c r="AC28" s="19">
        <v>3</v>
      </c>
      <c r="AD28" s="19"/>
      <c r="AE28" s="19"/>
      <c r="AF28" s="19"/>
      <c r="AG28" s="19"/>
      <c r="AH28" s="10">
        <f t="shared" si="1"/>
        <v>48</v>
      </c>
      <c r="AI28" s="11"/>
      <c r="AJ28" s="13"/>
    </row>
    <row r="29" spans="1:38" ht="20.25">
      <c r="A29" s="25">
        <v>330</v>
      </c>
      <c r="B29" s="71" t="str">
        <f>INDYWIDUAL!B29</f>
        <v>Isidro Santos</v>
      </c>
      <c r="C29" s="20"/>
      <c r="D29" s="20"/>
      <c r="E29" s="20">
        <v>3</v>
      </c>
      <c r="F29" s="20">
        <v>3</v>
      </c>
      <c r="G29" s="20">
        <v>3</v>
      </c>
      <c r="H29" s="20">
        <v>3</v>
      </c>
      <c r="I29" s="20"/>
      <c r="J29" s="20"/>
      <c r="K29" s="20"/>
      <c r="L29" s="20">
        <v>3</v>
      </c>
      <c r="M29" s="20">
        <v>3</v>
      </c>
      <c r="N29" s="20">
        <v>3</v>
      </c>
      <c r="O29" s="20">
        <v>3</v>
      </c>
      <c r="P29" s="20"/>
      <c r="Q29" s="20"/>
      <c r="R29" s="20"/>
      <c r="S29" s="20">
        <v>3</v>
      </c>
      <c r="T29" s="20">
        <v>3</v>
      </c>
      <c r="U29" s="20">
        <v>3</v>
      </c>
      <c r="V29" s="20">
        <v>3</v>
      </c>
      <c r="W29" s="20"/>
      <c r="X29" s="20"/>
      <c r="Y29" s="20"/>
      <c r="Z29" s="20">
        <v>3</v>
      </c>
      <c r="AA29" s="20">
        <v>3</v>
      </c>
      <c r="AB29" s="20">
        <v>3</v>
      </c>
      <c r="AC29" s="20">
        <v>3</v>
      </c>
      <c r="AD29" s="20"/>
      <c r="AE29" s="20"/>
      <c r="AF29" s="20"/>
      <c r="AG29" s="20"/>
      <c r="AH29" s="10">
        <f t="shared" si="1"/>
        <v>48</v>
      </c>
      <c r="AI29" s="11">
        <f>SUM(AH29:AH30)</f>
        <v>92</v>
      </c>
      <c r="AJ29" s="12">
        <f>PRODUCT(AI29/AI30)</f>
        <v>46</v>
      </c>
    </row>
    <row r="30" spans="1:38" ht="20.25">
      <c r="A30" s="26"/>
      <c r="B30" s="69" t="str">
        <f>INDYWIDUAL!B30</f>
        <v>Lana Begović</v>
      </c>
      <c r="C30" s="20"/>
      <c r="D30" s="20"/>
      <c r="E30" s="20">
        <v>3</v>
      </c>
      <c r="F30" s="20">
        <v>2</v>
      </c>
      <c r="G30" s="20">
        <v>3</v>
      </c>
      <c r="H30" s="20">
        <v>3</v>
      </c>
      <c r="I30" s="20"/>
      <c r="J30" s="20"/>
      <c r="K30" s="20"/>
      <c r="L30" s="20">
        <v>3</v>
      </c>
      <c r="M30" s="20">
        <v>2</v>
      </c>
      <c r="N30" s="20">
        <v>3</v>
      </c>
      <c r="O30" s="20">
        <v>3</v>
      </c>
      <c r="P30" s="20"/>
      <c r="Q30" s="20"/>
      <c r="R30" s="20"/>
      <c r="S30" s="20">
        <v>3</v>
      </c>
      <c r="T30" s="20">
        <v>2</v>
      </c>
      <c r="U30" s="20">
        <v>3</v>
      </c>
      <c r="V30" s="20">
        <v>3</v>
      </c>
      <c r="W30" s="20"/>
      <c r="X30" s="20"/>
      <c r="Y30" s="20"/>
      <c r="Z30" s="20">
        <v>3</v>
      </c>
      <c r="AA30" s="20">
        <v>2</v>
      </c>
      <c r="AB30" s="20">
        <v>3</v>
      </c>
      <c r="AC30" s="20">
        <v>3</v>
      </c>
      <c r="AD30" s="20"/>
      <c r="AE30" s="20"/>
      <c r="AF30" s="20"/>
      <c r="AG30" s="20"/>
      <c r="AH30" s="10">
        <f t="shared" si="1"/>
        <v>44</v>
      </c>
      <c r="AI30" s="11">
        <f>COUNTA(B29:B30)</f>
        <v>2</v>
      </c>
      <c r="AJ30" s="13"/>
    </row>
    <row r="31" spans="1:38" ht="20.25">
      <c r="A31" s="58">
        <v>331</v>
      </c>
      <c r="B31" s="67" t="str">
        <f>INDYWIDUAL!B31</f>
        <v>Olborski Jakub</v>
      </c>
      <c r="C31" s="17"/>
      <c r="D31" s="17"/>
      <c r="E31" s="17">
        <v>3</v>
      </c>
      <c r="F31" s="17">
        <v>2</v>
      </c>
      <c r="G31" s="17">
        <v>3</v>
      </c>
      <c r="H31" s="17">
        <v>3</v>
      </c>
      <c r="I31" s="17"/>
      <c r="J31" s="17"/>
      <c r="K31" s="17"/>
      <c r="L31" s="17">
        <v>3</v>
      </c>
      <c r="M31" s="17">
        <v>2</v>
      </c>
      <c r="N31" s="17">
        <v>3</v>
      </c>
      <c r="O31" s="17">
        <v>3</v>
      </c>
      <c r="P31" s="17"/>
      <c r="Q31" s="17"/>
      <c r="R31" s="17"/>
      <c r="S31" s="17">
        <v>3</v>
      </c>
      <c r="T31" s="17">
        <v>2</v>
      </c>
      <c r="U31" s="17">
        <v>3</v>
      </c>
      <c r="V31" s="17">
        <v>3</v>
      </c>
      <c r="W31" s="17"/>
      <c r="X31" s="17"/>
      <c r="Y31" s="17"/>
      <c r="Z31" s="17">
        <v>3</v>
      </c>
      <c r="AA31" s="17">
        <v>2</v>
      </c>
      <c r="AB31" s="17">
        <v>3</v>
      </c>
      <c r="AC31" s="17">
        <v>3</v>
      </c>
      <c r="AD31" s="17"/>
      <c r="AE31" s="17"/>
      <c r="AF31" s="17"/>
      <c r="AG31" s="17"/>
      <c r="AH31" s="10">
        <f t="shared" si="1"/>
        <v>44</v>
      </c>
      <c r="AI31" s="11">
        <f>SUM(AH31:AH32)</f>
        <v>92</v>
      </c>
      <c r="AJ31" s="12">
        <f>PRODUCT(AI31/AI32)</f>
        <v>46</v>
      </c>
    </row>
    <row r="32" spans="1:38" ht="20.25">
      <c r="A32" s="58"/>
      <c r="B32" s="67" t="str">
        <f>INDYWIDUAL!B32</f>
        <v>Górka Szymon</v>
      </c>
      <c r="C32" s="17"/>
      <c r="D32" s="17"/>
      <c r="E32" s="17">
        <v>3</v>
      </c>
      <c r="F32" s="17">
        <v>3</v>
      </c>
      <c r="G32" s="17">
        <v>3</v>
      </c>
      <c r="H32" s="17">
        <v>3</v>
      </c>
      <c r="I32" s="17"/>
      <c r="J32" s="17"/>
      <c r="K32" s="17"/>
      <c r="L32" s="17">
        <v>3</v>
      </c>
      <c r="M32" s="17">
        <v>3</v>
      </c>
      <c r="N32" s="17">
        <v>3</v>
      </c>
      <c r="O32" s="17">
        <v>3</v>
      </c>
      <c r="P32" s="17"/>
      <c r="Q32" s="17"/>
      <c r="R32" s="17"/>
      <c r="S32" s="17">
        <v>3</v>
      </c>
      <c r="T32" s="17">
        <v>3</v>
      </c>
      <c r="U32" s="17">
        <v>3</v>
      </c>
      <c r="V32" s="17">
        <v>3</v>
      </c>
      <c r="W32" s="17"/>
      <c r="X32" s="17"/>
      <c r="Y32" s="17"/>
      <c r="Z32" s="17">
        <v>3</v>
      </c>
      <c r="AA32" s="17">
        <v>3</v>
      </c>
      <c r="AB32" s="17">
        <v>3</v>
      </c>
      <c r="AC32" s="17">
        <v>3</v>
      </c>
      <c r="AD32" s="17"/>
      <c r="AE32" s="17"/>
      <c r="AF32" s="17"/>
      <c r="AG32" s="17"/>
      <c r="AH32" s="10">
        <f t="shared" si="1"/>
        <v>48</v>
      </c>
      <c r="AI32" s="11">
        <f>COUNTA(B31:B32)</f>
        <v>2</v>
      </c>
      <c r="AJ32" s="21"/>
    </row>
    <row r="33" spans="1:36" ht="20.25">
      <c r="A33" s="54">
        <v>332</v>
      </c>
      <c r="B33" s="68" t="str">
        <f>INDYWIDUAL!B33</f>
        <v>Patai Ágnes</v>
      </c>
      <c r="C33" s="8"/>
      <c r="D33" s="8"/>
      <c r="E33" s="8">
        <v>2</v>
      </c>
      <c r="F33" s="8">
        <v>1</v>
      </c>
      <c r="G33" s="8">
        <v>2</v>
      </c>
      <c r="H33" s="8">
        <v>1</v>
      </c>
      <c r="I33" s="8"/>
      <c r="J33" s="8"/>
      <c r="K33" s="8"/>
      <c r="L33" s="8">
        <v>2</v>
      </c>
      <c r="M33" s="8">
        <v>1</v>
      </c>
      <c r="N33" s="8">
        <v>2</v>
      </c>
      <c r="O33" s="8">
        <v>1</v>
      </c>
      <c r="P33" s="8"/>
      <c r="Q33" s="8"/>
      <c r="R33" s="8"/>
      <c r="S33" s="8">
        <v>2</v>
      </c>
      <c r="T33" s="8">
        <v>1</v>
      </c>
      <c r="U33" s="8">
        <v>2</v>
      </c>
      <c r="V33" s="8">
        <v>1</v>
      </c>
      <c r="W33" s="8"/>
      <c r="X33" s="8"/>
      <c r="Y33" s="8"/>
      <c r="Z33" s="8">
        <v>2</v>
      </c>
      <c r="AA33" s="8">
        <v>1</v>
      </c>
      <c r="AB33" s="8">
        <v>2</v>
      </c>
      <c r="AC33" s="8">
        <v>1</v>
      </c>
      <c r="AD33" s="8"/>
      <c r="AE33" s="8"/>
      <c r="AF33" s="8"/>
      <c r="AG33" s="8"/>
      <c r="AH33" s="10">
        <f t="shared" si="1"/>
        <v>24</v>
      </c>
      <c r="AI33" s="11">
        <f>SUM(AH33:AH34)</f>
        <v>48</v>
      </c>
      <c r="AJ33" s="12">
        <f>PRODUCT(AI33/AI34)</f>
        <v>24</v>
      </c>
    </row>
    <row r="34" spans="1:36" ht="20.25">
      <c r="A34" s="54"/>
      <c r="B34" s="68" t="str">
        <f>INDYWIDUAL!B34</f>
        <v>Samikshya Duwadi</v>
      </c>
      <c r="C34" s="8"/>
      <c r="D34" s="8"/>
      <c r="E34" s="8">
        <v>1</v>
      </c>
      <c r="F34" s="8">
        <v>2</v>
      </c>
      <c r="G34" s="8">
        <v>2</v>
      </c>
      <c r="H34" s="8">
        <v>1</v>
      </c>
      <c r="I34" s="8"/>
      <c r="J34" s="8"/>
      <c r="K34" s="8"/>
      <c r="L34" s="8">
        <v>1</v>
      </c>
      <c r="M34" s="8">
        <v>2</v>
      </c>
      <c r="N34" s="8">
        <v>2</v>
      </c>
      <c r="O34" s="8">
        <v>1</v>
      </c>
      <c r="P34" s="8"/>
      <c r="Q34" s="8"/>
      <c r="R34" s="8"/>
      <c r="S34" s="8">
        <v>1</v>
      </c>
      <c r="T34" s="8">
        <v>2</v>
      </c>
      <c r="U34" s="8">
        <v>2</v>
      </c>
      <c r="V34" s="8">
        <v>1</v>
      </c>
      <c r="W34" s="8"/>
      <c r="X34" s="8"/>
      <c r="Y34" s="8"/>
      <c r="Z34" s="8">
        <v>1</v>
      </c>
      <c r="AA34" s="8">
        <v>2</v>
      </c>
      <c r="AB34" s="8">
        <v>2</v>
      </c>
      <c r="AC34" s="8">
        <v>1</v>
      </c>
      <c r="AD34" s="8"/>
      <c r="AE34" s="8"/>
      <c r="AF34" s="8"/>
      <c r="AG34" s="8"/>
      <c r="AH34" s="10">
        <f t="shared" si="1"/>
        <v>24</v>
      </c>
      <c r="AI34" s="11">
        <f>COUNTA(B33:B34)</f>
        <v>2</v>
      </c>
      <c r="AJ34" s="13"/>
    </row>
    <row r="35" spans="1:36" ht="20.25">
      <c r="A35" s="61">
        <v>333</v>
      </c>
      <c r="B35" s="22" t="str">
        <f>INDYWIDUAL!B35</f>
        <v>Salinda Lungeli</v>
      </c>
      <c r="C35" s="23"/>
      <c r="D35" s="23"/>
      <c r="E35" s="23">
        <v>3</v>
      </c>
      <c r="F35" s="23">
        <v>3</v>
      </c>
      <c r="G35" s="23">
        <v>3</v>
      </c>
      <c r="H35" s="23">
        <v>3</v>
      </c>
      <c r="I35" s="23"/>
      <c r="J35" s="23"/>
      <c r="K35" s="23"/>
      <c r="L35" s="23">
        <v>3</v>
      </c>
      <c r="M35" s="23">
        <v>3</v>
      </c>
      <c r="N35" s="23">
        <v>3</v>
      </c>
      <c r="O35" s="23">
        <v>3</v>
      </c>
      <c r="P35" s="23"/>
      <c r="Q35" s="23"/>
      <c r="R35" s="23"/>
      <c r="S35" s="23">
        <v>3</v>
      </c>
      <c r="T35" s="23">
        <v>3</v>
      </c>
      <c r="U35" s="23">
        <v>3</v>
      </c>
      <c r="V35" s="23">
        <v>3</v>
      </c>
      <c r="W35" s="23"/>
      <c r="X35" s="23"/>
      <c r="Y35" s="23"/>
      <c r="Z35" s="23">
        <v>3</v>
      </c>
      <c r="AA35" s="23">
        <v>3</v>
      </c>
      <c r="AB35" s="23">
        <v>3</v>
      </c>
      <c r="AC35" s="23">
        <v>3</v>
      </c>
      <c r="AD35" s="23"/>
      <c r="AE35" s="23"/>
      <c r="AF35" s="23"/>
      <c r="AG35" s="23"/>
      <c r="AH35" s="10">
        <f t="shared" si="1"/>
        <v>48</v>
      </c>
      <c r="AI35" s="11">
        <f>SUM(AH35:AH36)</f>
        <v>80</v>
      </c>
      <c r="AJ35" s="12">
        <f>PRODUCT(AI35/AI36)</f>
        <v>40</v>
      </c>
    </row>
    <row r="36" spans="1:36" ht="20.25">
      <c r="A36" s="61"/>
      <c r="B36" s="22" t="str">
        <f>INDYWIDUAL!B36</f>
        <v>Dani Erika</v>
      </c>
      <c r="C36" s="24"/>
      <c r="D36" s="24"/>
      <c r="E36" s="24">
        <v>2</v>
      </c>
      <c r="F36" s="24">
        <v>2</v>
      </c>
      <c r="G36" s="24">
        <v>2</v>
      </c>
      <c r="H36" s="24">
        <v>2</v>
      </c>
      <c r="I36" s="24"/>
      <c r="J36" s="24"/>
      <c r="K36" s="24"/>
      <c r="L36" s="24">
        <v>2</v>
      </c>
      <c r="M36" s="24">
        <v>2</v>
      </c>
      <c r="N36" s="24">
        <v>2</v>
      </c>
      <c r="O36" s="24">
        <v>2</v>
      </c>
      <c r="P36" s="24"/>
      <c r="Q36" s="24"/>
      <c r="R36" s="24"/>
      <c r="S36" s="24">
        <v>2</v>
      </c>
      <c r="T36" s="24">
        <v>2</v>
      </c>
      <c r="U36" s="24">
        <v>2</v>
      </c>
      <c r="V36" s="24">
        <v>2</v>
      </c>
      <c r="W36" s="24"/>
      <c r="X36" s="24"/>
      <c r="Y36" s="24"/>
      <c r="Z36" s="24">
        <v>2</v>
      </c>
      <c r="AA36" s="24">
        <v>2</v>
      </c>
      <c r="AB36" s="24">
        <v>2</v>
      </c>
      <c r="AC36" s="24">
        <v>2</v>
      </c>
      <c r="AD36" s="24"/>
      <c r="AE36" s="24"/>
      <c r="AF36" s="24"/>
      <c r="AG36" s="24"/>
      <c r="AH36" s="10">
        <f t="shared" si="1"/>
        <v>32</v>
      </c>
      <c r="AI36" s="11">
        <f>COUNTA(B35:B36)</f>
        <v>2</v>
      </c>
      <c r="AJ36" s="13"/>
    </row>
    <row r="37" spans="1:36" ht="20.25">
      <c r="A37" s="62">
        <v>334</v>
      </c>
      <c r="B37" s="66" t="str">
        <f>INDYWIDUAL!B37</f>
        <v>Paulina Florianu</v>
      </c>
      <c r="C37" s="14"/>
      <c r="D37" s="14"/>
      <c r="E37" s="14">
        <v>2</v>
      </c>
      <c r="F37" s="14">
        <v>2</v>
      </c>
      <c r="G37" s="14">
        <v>2</v>
      </c>
      <c r="H37" s="14">
        <v>2</v>
      </c>
      <c r="I37" s="14"/>
      <c r="J37" s="14"/>
      <c r="K37" s="14"/>
      <c r="L37" s="14">
        <v>2</v>
      </c>
      <c r="M37" s="14">
        <v>2</v>
      </c>
      <c r="N37" s="14">
        <v>2</v>
      </c>
      <c r="O37" s="14">
        <v>2</v>
      </c>
      <c r="P37" s="14"/>
      <c r="Q37" s="14"/>
      <c r="R37" s="14"/>
      <c r="S37" s="14">
        <v>2</v>
      </c>
      <c r="T37" s="14">
        <v>2</v>
      </c>
      <c r="U37" s="14">
        <v>2</v>
      </c>
      <c r="V37" s="14">
        <v>2</v>
      </c>
      <c r="W37" s="14"/>
      <c r="X37" s="14"/>
      <c r="Y37" s="14"/>
      <c r="Z37" s="14">
        <v>2</v>
      </c>
      <c r="AA37" s="14">
        <v>2</v>
      </c>
      <c r="AB37" s="14">
        <v>2</v>
      </c>
      <c r="AC37" s="14">
        <v>2</v>
      </c>
      <c r="AD37" s="14"/>
      <c r="AE37" s="14"/>
      <c r="AF37" s="14"/>
      <c r="AG37" s="14"/>
      <c r="AH37" s="10">
        <f t="shared" si="1"/>
        <v>32</v>
      </c>
      <c r="AI37" s="11">
        <f>SUM(AH37:AH39)</f>
        <v>48</v>
      </c>
      <c r="AJ37" s="12">
        <f>PRODUCT(AI37/AI39)</f>
        <v>16</v>
      </c>
    </row>
    <row r="38" spans="1:36" ht="20.25">
      <c r="A38" s="62"/>
      <c r="B38" s="66" t="str">
        <f>INDYWIDUAL!B38</f>
        <v>Jeremy West</v>
      </c>
      <c r="C38" s="14"/>
      <c r="D38" s="14"/>
      <c r="E38" s="14">
        <v>1</v>
      </c>
      <c r="F38" s="14">
        <v>1</v>
      </c>
      <c r="G38" s="14">
        <v>1</v>
      </c>
      <c r="H38" s="14">
        <v>1</v>
      </c>
      <c r="I38" s="14"/>
      <c r="J38" s="14"/>
      <c r="K38" s="14"/>
      <c r="L38" s="14">
        <v>1</v>
      </c>
      <c r="M38" s="14">
        <v>1</v>
      </c>
      <c r="N38" s="14">
        <v>1</v>
      </c>
      <c r="O38" s="14">
        <v>1</v>
      </c>
      <c r="P38" s="14"/>
      <c r="Q38" s="14"/>
      <c r="R38" s="14"/>
      <c r="S38" s="14">
        <v>1</v>
      </c>
      <c r="T38" s="14">
        <v>1</v>
      </c>
      <c r="U38" s="14">
        <v>1</v>
      </c>
      <c r="V38" s="14">
        <v>1</v>
      </c>
      <c r="W38" s="14"/>
      <c r="X38" s="14"/>
      <c r="Y38" s="14"/>
      <c r="Z38" s="14">
        <v>1</v>
      </c>
      <c r="AA38" s="14">
        <v>1</v>
      </c>
      <c r="AB38" s="14">
        <v>1</v>
      </c>
      <c r="AC38" s="14">
        <v>1</v>
      </c>
      <c r="AD38" s="14"/>
      <c r="AE38" s="14"/>
      <c r="AF38" s="14"/>
      <c r="AG38" s="14"/>
      <c r="AH38" s="10">
        <f t="shared" si="1"/>
        <v>16</v>
      </c>
      <c r="AI38"/>
      <c r="AJ38" s="21"/>
    </row>
    <row r="39" spans="1:36" ht="20.25">
      <c r="A39" s="62"/>
      <c r="B39" s="66" t="str">
        <f>INDYWIDUAL!B39</f>
        <v>Dragoș Magheru</v>
      </c>
      <c r="C39" s="14"/>
      <c r="D39" s="14"/>
      <c r="E39" s="14">
        <v>-1</v>
      </c>
      <c r="F39" s="14">
        <v>-1</v>
      </c>
      <c r="G39" s="14">
        <v>1</v>
      </c>
      <c r="H39" s="14">
        <v>1</v>
      </c>
      <c r="I39" s="14"/>
      <c r="J39" s="14"/>
      <c r="K39" s="14"/>
      <c r="L39" s="14">
        <v>-1</v>
      </c>
      <c r="M39" s="14">
        <v>-1</v>
      </c>
      <c r="N39" s="14">
        <v>1</v>
      </c>
      <c r="O39" s="14">
        <v>1</v>
      </c>
      <c r="P39" s="14"/>
      <c r="Q39" s="14"/>
      <c r="R39" s="14"/>
      <c r="S39" s="14">
        <v>-1</v>
      </c>
      <c r="T39" s="14">
        <v>-1</v>
      </c>
      <c r="U39" s="14">
        <v>1</v>
      </c>
      <c r="V39" s="14">
        <v>1</v>
      </c>
      <c r="W39" s="14"/>
      <c r="X39" s="14"/>
      <c r="Y39" s="14"/>
      <c r="Z39" s="14">
        <v>-1</v>
      </c>
      <c r="AA39" s="14">
        <v>-1</v>
      </c>
      <c r="AB39" s="14">
        <v>1</v>
      </c>
      <c r="AC39" s="14">
        <v>1</v>
      </c>
      <c r="AD39" s="14"/>
      <c r="AE39" s="14"/>
      <c r="AF39" s="14"/>
      <c r="AG39" s="14"/>
      <c r="AH39" s="10">
        <f t="shared" si="1"/>
        <v>0</v>
      </c>
      <c r="AI39" s="11">
        <f>COUNTA(B37:B39)</f>
        <v>3</v>
      </c>
      <c r="AJ39"/>
    </row>
  </sheetData>
  <mergeCells count="1">
    <mergeCell ref="E1:M1"/>
  </mergeCells>
  <pageMargins left="0.23611111111111099" right="0.23611111111111099" top="0.196527777777778" bottom="0.15972222222222199" header="0.51180555555555496" footer="0.51180555555555496"/>
  <pageSetup paperSize="0" scale="0" firstPageNumber="0" orientation="portrait" usePrinterDefaults="0" horizontalDpi="0" verticalDpi="0" copie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J39"/>
  <sheetViews>
    <sheetView topLeftCell="A28" workbookViewId="0">
      <selection activeCell="C3" sqref="C3:AG39"/>
    </sheetView>
  </sheetViews>
  <sheetFormatPr defaultRowHeight="14.25"/>
  <cols>
    <col min="2" max="2" width="27.25" customWidth="1"/>
    <col min="3" max="33" width="3.125" customWidth="1"/>
  </cols>
  <sheetData>
    <row r="1" spans="1:36" ht="20.25">
      <c r="B1" s="2" t="str">
        <f>T(INDYWIDUAL!B1)</f>
        <v>wrzesień</v>
      </c>
      <c r="E1" s="139" t="s">
        <v>0</v>
      </c>
      <c r="F1" s="139"/>
      <c r="G1" s="139"/>
      <c r="H1" s="139"/>
      <c r="I1" s="139"/>
      <c r="J1" s="139"/>
      <c r="K1" s="139"/>
      <c r="L1" s="139"/>
      <c r="M1" s="139"/>
    </row>
    <row r="2" spans="1:36" ht="15">
      <c r="A2" s="3" t="s">
        <v>1</v>
      </c>
      <c r="B2" s="4" t="s">
        <v>2</v>
      </c>
      <c r="C2" s="5">
        <v>1</v>
      </c>
      <c r="D2" s="5">
        <v>2</v>
      </c>
      <c r="E2" s="5">
        <v>3</v>
      </c>
      <c r="F2" s="5">
        <v>4</v>
      </c>
      <c r="G2" s="5">
        <v>5</v>
      </c>
      <c r="H2" s="5">
        <v>6</v>
      </c>
      <c r="I2" s="5">
        <v>7</v>
      </c>
      <c r="J2" s="5">
        <v>8</v>
      </c>
      <c r="K2" s="5">
        <v>9</v>
      </c>
      <c r="L2" s="5">
        <v>10</v>
      </c>
      <c r="M2" s="5">
        <v>11</v>
      </c>
      <c r="N2" s="5">
        <v>12</v>
      </c>
      <c r="O2" s="5">
        <v>13</v>
      </c>
      <c r="P2" s="5">
        <v>14</v>
      </c>
      <c r="Q2" s="5">
        <v>15</v>
      </c>
      <c r="R2" s="5">
        <v>16</v>
      </c>
      <c r="S2" s="5">
        <v>17</v>
      </c>
      <c r="T2" s="5">
        <v>18</v>
      </c>
      <c r="U2" s="5">
        <v>19</v>
      </c>
      <c r="V2" s="5">
        <v>20</v>
      </c>
      <c r="W2" s="5">
        <v>21</v>
      </c>
      <c r="X2" s="5">
        <v>22</v>
      </c>
      <c r="Y2" s="5">
        <v>23</v>
      </c>
      <c r="Z2" s="5">
        <v>24</v>
      </c>
      <c r="AA2" s="5">
        <v>25</v>
      </c>
      <c r="AB2" s="5">
        <v>26</v>
      </c>
      <c r="AC2" s="5">
        <v>27</v>
      </c>
      <c r="AD2" s="5">
        <v>28</v>
      </c>
      <c r="AE2" s="5">
        <v>29</v>
      </c>
      <c r="AF2" s="5">
        <v>30</v>
      </c>
      <c r="AG2" s="5">
        <v>31</v>
      </c>
      <c r="AH2" s="6" t="s">
        <v>3</v>
      </c>
      <c r="AJ2" s="7" t="s">
        <v>4</v>
      </c>
    </row>
    <row r="3" spans="1:36" ht="20.25">
      <c r="A3" s="61">
        <v>312</v>
      </c>
      <c r="B3" s="22" t="str">
        <f>INDYWIDUAL!B3</f>
        <v>Aaron Miller</v>
      </c>
      <c r="C3" s="23"/>
      <c r="D3" s="23"/>
      <c r="E3" s="23">
        <v>2</v>
      </c>
      <c r="F3" s="23">
        <v>2</v>
      </c>
      <c r="G3" s="23">
        <v>2</v>
      </c>
      <c r="H3" s="23">
        <v>2</v>
      </c>
      <c r="I3" s="23"/>
      <c r="J3" s="23"/>
      <c r="K3" s="23"/>
      <c r="L3" s="23">
        <v>2</v>
      </c>
      <c r="M3" s="23">
        <v>2</v>
      </c>
      <c r="N3" s="23">
        <v>2</v>
      </c>
      <c r="O3" s="23">
        <v>2</v>
      </c>
      <c r="P3" s="23"/>
      <c r="Q3" s="23"/>
      <c r="R3" s="23"/>
      <c r="S3" s="23">
        <v>2</v>
      </c>
      <c r="T3" s="23">
        <v>2</v>
      </c>
      <c r="U3" s="23">
        <v>2</v>
      </c>
      <c r="V3" s="23">
        <v>2</v>
      </c>
      <c r="W3" s="23"/>
      <c r="X3" s="23"/>
      <c r="Y3" s="23"/>
      <c r="Z3" s="23">
        <v>2</v>
      </c>
      <c r="AA3" s="23">
        <v>2</v>
      </c>
      <c r="AB3" s="23">
        <v>2</v>
      </c>
      <c r="AC3" s="23">
        <v>2</v>
      </c>
      <c r="AD3" s="23"/>
      <c r="AE3" s="23"/>
      <c r="AF3" s="23"/>
      <c r="AG3" s="23"/>
      <c r="AH3" s="10">
        <f>SUM(C3:AG3)</f>
        <v>32</v>
      </c>
      <c r="AI3" s="11">
        <f>SUM(AH3:AH4)</f>
        <v>80</v>
      </c>
      <c r="AJ3" s="12">
        <f t="shared" ref="AJ3" si="0">PRODUCT(AI3/AI4)</f>
        <v>40</v>
      </c>
    </row>
    <row r="4" spans="1:36" ht="20.25">
      <c r="A4" s="61"/>
      <c r="B4" s="22" t="str">
        <f>INDYWIDUAL!B4</f>
        <v>Amanda Boyd</v>
      </c>
      <c r="C4" s="24"/>
      <c r="D4" s="24"/>
      <c r="E4" s="24">
        <v>3</v>
      </c>
      <c r="F4" s="24">
        <v>3</v>
      </c>
      <c r="G4" s="24">
        <v>3</v>
      </c>
      <c r="H4" s="24">
        <v>3</v>
      </c>
      <c r="I4" s="24"/>
      <c r="J4" s="24"/>
      <c r="K4" s="24"/>
      <c r="L4" s="24">
        <v>3</v>
      </c>
      <c r="M4" s="24">
        <v>3</v>
      </c>
      <c r="N4" s="24">
        <v>3</v>
      </c>
      <c r="O4" s="24">
        <v>3</v>
      </c>
      <c r="P4" s="24"/>
      <c r="Q4" s="24"/>
      <c r="R4" s="24"/>
      <c r="S4" s="24">
        <v>3</v>
      </c>
      <c r="T4" s="24">
        <v>3</v>
      </c>
      <c r="U4" s="24">
        <v>3</v>
      </c>
      <c r="V4" s="24">
        <v>3</v>
      </c>
      <c r="W4" s="24"/>
      <c r="X4" s="24"/>
      <c r="Y4" s="24"/>
      <c r="Z4" s="24">
        <v>3</v>
      </c>
      <c r="AA4" s="24">
        <v>3</v>
      </c>
      <c r="AB4" s="24">
        <v>3</v>
      </c>
      <c r="AC4" s="24">
        <v>3</v>
      </c>
      <c r="AD4" s="24"/>
      <c r="AE4" s="24"/>
      <c r="AF4" s="24"/>
      <c r="AG4" s="24"/>
      <c r="AH4" s="10">
        <f t="shared" ref="AH4:AH39" si="1">SUM(C4:AG4)</f>
        <v>48</v>
      </c>
      <c r="AI4" s="11">
        <f>COUNTA(B3:B4)</f>
        <v>2</v>
      </c>
      <c r="AJ4" s="13"/>
    </row>
    <row r="5" spans="1:36" ht="20.25">
      <c r="A5" s="62">
        <v>313</v>
      </c>
      <c r="B5" s="66" t="str">
        <f>INDYWIDUAL!B5</f>
        <v>Orzełowski Wojciech</v>
      </c>
      <c r="C5" s="14"/>
      <c r="D5" s="14"/>
      <c r="E5" s="14">
        <v>2</v>
      </c>
      <c r="F5" s="14">
        <v>2</v>
      </c>
      <c r="G5" s="14">
        <v>2</v>
      </c>
      <c r="H5" s="14">
        <v>3</v>
      </c>
      <c r="I5" s="14"/>
      <c r="J5" s="14"/>
      <c r="K5" s="14"/>
      <c r="L5" s="14">
        <v>2</v>
      </c>
      <c r="M5" s="14">
        <v>2</v>
      </c>
      <c r="N5" s="14">
        <v>2</v>
      </c>
      <c r="O5" s="14">
        <v>3</v>
      </c>
      <c r="P5" s="14"/>
      <c r="Q5" s="14"/>
      <c r="R5" s="14"/>
      <c r="S5" s="14">
        <v>2</v>
      </c>
      <c r="T5" s="14">
        <v>2</v>
      </c>
      <c r="U5" s="14">
        <v>2</v>
      </c>
      <c r="V5" s="14">
        <v>3</v>
      </c>
      <c r="W5" s="14"/>
      <c r="X5" s="14"/>
      <c r="Y5" s="14"/>
      <c r="Z5" s="14">
        <v>2</v>
      </c>
      <c r="AA5" s="14">
        <v>2</v>
      </c>
      <c r="AB5" s="14">
        <v>2</v>
      </c>
      <c r="AC5" s="14">
        <v>3</v>
      </c>
      <c r="AD5" s="14"/>
      <c r="AE5" s="14"/>
      <c r="AF5" s="14"/>
      <c r="AG5" s="14"/>
      <c r="AH5" s="10">
        <f t="shared" si="1"/>
        <v>36</v>
      </c>
      <c r="AI5" s="11">
        <f t="shared" ref="AI5" si="2">SUM(AH5:AH6)</f>
        <v>68</v>
      </c>
      <c r="AJ5" s="12">
        <f t="shared" ref="AJ5" si="3">PRODUCT(AI5/AI6)</f>
        <v>34</v>
      </c>
    </row>
    <row r="6" spans="1:36" ht="20.25">
      <c r="A6" s="62"/>
      <c r="B6" s="66" t="str">
        <f>INDYWIDUAL!B6</f>
        <v>Crystal Castillo</v>
      </c>
      <c r="C6" s="14"/>
      <c r="D6" s="14"/>
      <c r="E6" s="14">
        <v>2</v>
      </c>
      <c r="F6" s="14">
        <v>2</v>
      </c>
      <c r="G6" s="14">
        <v>2</v>
      </c>
      <c r="H6" s="14">
        <v>2</v>
      </c>
      <c r="I6" s="14"/>
      <c r="J6" s="14"/>
      <c r="K6" s="14"/>
      <c r="L6" s="14">
        <v>2</v>
      </c>
      <c r="M6" s="14">
        <v>2</v>
      </c>
      <c r="N6" s="14">
        <v>2</v>
      </c>
      <c r="O6" s="14">
        <v>2</v>
      </c>
      <c r="P6" s="14"/>
      <c r="Q6" s="14"/>
      <c r="R6" s="14"/>
      <c r="S6" s="14">
        <v>2</v>
      </c>
      <c r="T6" s="14">
        <v>2</v>
      </c>
      <c r="U6" s="14">
        <v>2</v>
      </c>
      <c r="V6" s="14">
        <v>2</v>
      </c>
      <c r="W6" s="14"/>
      <c r="X6" s="14"/>
      <c r="Y6" s="14"/>
      <c r="Z6" s="14">
        <v>2</v>
      </c>
      <c r="AA6" s="14">
        <v>2</v>
      </c>
      <c r="AB6" s="14">
        <v>2</v>
      </c>
      <c r="AC6" s="14">
        <v>2</v>
      </c>
      <c r="AD6" s="14"/>
      <c r="AE6" s="14"/>
      <c r="AF6" s="14"/>
      <c r="AG6" s="14"/>
      <c r="AH6" s="10">
        <f t="shared" si="1"/>
        <v>32</v>
      </c>
      <c r="AI6" s="11">
        <f t="shared" ref="AI6" si="4">COUNTA(B5:B6)</f>
        <v>2</v>
      </c>
      <c r="AJ6" s="13"/>
    </row>
    <row r="7" spans="1:36" ht="20.25">
      <c r="A7" s="58">
        <v>326</v>
      </c>
      <c r="B7" s="67" t="str">
        <f>INDYWIDUAL!B7</f>
        <v>Virginia Rivera</v>
      </c>
      <c r="C7" s="67"/>
      <c r="D7" s="17"/>
      <c r="E7" s="67">
        <v>2</v>
      </c>
      <c r="F7" s="17">
        <v>2</v>
      </c>
      <c r="G7" s="17">
        <v>2</v>
      </c>
      <c r="H7" s="17">
        <v>2</v>
      </c>
      <c r="I7" s="17"/>
      <c r="J7" s="17"/>
      <c r="K7" s="17"/>
      <c r="L7" s="67">
        <v>2</v>
      </c>
      <c r="M7" s="17">
        <v>2</v>
      </c>
      <c r="N7" s="17">
        <v>2</v>
      </c>
      <c r="O7" s="17">
        <v>2</v>
      </c>
      <c r="P7" s="17"/>
      <c r="Q7" s="17"/>
      <c r="R7" s="17"/>
      <c r="S7" s="67">
        <v>2</v>
      </c>
      <c r="T7" s="17">
        <v>2</v>
      </c>
      <c r="U7" s="17">
        <v>2</v>
      </c>
      <c r="V7" s="17">
        <v>2</v>
      </c>
      <c r="W7" s="17"/>
      <c r="X7" s="17"/>
      <c r="Y7" s="17"/>
      <c r="Z7" s="67">
        <v>2</v>
      </c>
      <c r="AA7" s="17">
        <v>2</v>
      </c>
      <c r="AB7" s="17">
        <v>2</v>
      </c>
      <c r="AC7" s="17">
        <v>2</v>
      </c>
      <c r="AD7" s="17"/>
      <c r="AE7" s="17"/>
      <c r="AF7" s="17"/>
      <c r="AG7" s="17"/>
      <c r="AH7" s="10">
        <f t="shared" si="1"/>
        <v>32</v>
      </c>
      <c r="AI7" s="11">
        <f>SUM(AH7:AH10)</f>
        <v>128</v>
      </c>
      <c r="AJ7" s="12">
        <f>PRODUCT(AI7/AI8)</f>
        <v>32</v>
      </c>
    </row>
    <row r="8" spans="1:36" ht="20.25">
      <c r="A8" s="58"/>
      <c r="B8" s="67" t="str">
        <f>INDYWIDUAL!B8</f>
        <v>Barbara McDonald</v>
      </c>
      <c r="C8" s="17"/>
      <c r="D8" s="17"/>
      <c r="E8" s="17">
        <v>2</v>
      </c>
      <c r="F8" s="17">
        <v>2</v>
      </c>
      <c r="G8" s="17">
        <v>2</v>
      </c>
      <c r="H8" s="17">
        <v>2</v>
      </c>
      <c r="I8" s="17"/>
      <c r="J8" s="17"/>
      <c r="K8" s="17"/>
      <c r="L8" s="17">
        <v>2</v>
      </c>
      <c r="M8" s="17">
        <v>2</v>
      </c>
      <c r="N8" s="17">
        <v>2</v>
      </c>
      <c r="O8" s="17">
        <v>2</v>
      </c>
      <c r="P8" s="17"/>
      <c r="Q8" s="17"/>
      <c r="R8" s="17"/>
      <c r="S8" s="17">
        <v>2</v>
      </c>
      <c r="T8" s="17">
        <v>2</v>
      </c>
      <c r="U8" s="17">
        <v>2</v>
      </c>
      <c r="V8" s="17">
        <v>2</v>
      </c>
      <c r="W8" s="17"/>
      <c r="X8" s="17"/>
      <c r="Y8" s="17"/>
      <c r="Z8" s="17">
        <v>2</v>
      </c>
      <c r="AA8" s="17">
        <v>2</v>
      </c>
      <c r="AB8" s="17">
        <v>2</v>
      </c>
      <c r="AC8" s="17">
        <v>2</v>
      </c>
      <c r="AD8" s="17"/>
      <c r="AE8" s="17"/>
      <c r="AF8" s="17"/>
      <c r="AG8" s="17"/>
      <c r="AH8" s="10">
        <f t="shared" si="1"/>
        <v>32</v>
      </c>
      <c r="AI8" s="11">
        <f>COUNTA(B7:B10)</f>
        <v>4</v>
      </c>
      <c r="AJ8" s="13"/>
    </row>
    <row r="9" spans="1:36" ht="20.25">
      <c r="A9" s="58"/>
      <c r="B9" s="67" t="str">
        <f>INDYWIDUAL!B9</f>
        <v>Gustáv Šlahor</v>
      </c>
      <c r="C9" s="17"/>
      <c r="D9" s="17"/>
      <c r="E9" s="17">
        <v>2</v>
      </c>
      <c r="F9" s="17">
        <v>2</v>
      </c>
      <c r="G9" s="17">
        <v>2</v>
      </c>
      <c r="H9" s="17">
        <v>2</v>
      </c>
      <c r="I9" s="17"/>
      <c r="J9" s="17"/>
      <c r="K9" s="17"/>
      <c r="L9" s="17">
        <v>2</v>
      </c>
      <c r="M9" s="17">
        <v>2</v>
      </c>
      <c r="N9" s="17">
        <v>2</v>
      </c>
      <c r="O9" s="17">
        <v>2</v>
      </c>
      <c r="P9" s="17"/>
      <c r="Q9" s="17"/>
      <c r="R9" s="17"/>
      <c r="S9" s="17">
        <v>2</v>
      </c>
      <c r="T9" s="17">
        <v>2</v>
      </c>
      <c r="U9" s="17">
        <v>2</v>
      </c>
      <c r="V9" s="17">
        <v>2</v>
      </c>
      <c r="W9" s="17"/>
      <c r="X9" s="17"/>
      <c r="Y9" s="17"/>
      <c r="Z9" s="17">
        <v>2</v>
      </c>
      <c r="AA9" s="17">
        <v>2</v>
      </c>
      <c r="AB9" s="17">
        <v>2</v>
      </c>
      <c r="AC9" s="17">
        <v>2</v>
      </c>
      <c r="AD9" s="17"/>
      <c r="AE9" s="17"/>
      <c r="AF9" s="17"/>
      <c r="AG9" s="17"/>
      <c r="AH9" s="10">
        <f t="shared" si="1"/>
        <v>32</v>
      </c>
      <c r="AI9" s="11"/>
      <c r="AJ9" s="13"/>
    </row>
    <row r="10" spans="1:36" ht="20.25">
      <c r="A10" s="58"/>
      <c r="B10" s="67" t="str">
        <f>INDYWIDUAL!B10</f>
        <v>Felipe Arroyo</v>
      </c>
      <c r="C10" s="17"/>
      <c r="D10" s="17"/>
      <c r="E10" s="17">
        <v>2</v>
      </c>
      <c r="F10" s="17">
        <v>2</v>
      </c>
      <c r="G10" s="17">
        <v>2</v>
      </c>
      <c r="H10" s="17">
        <v>2</v>
      </c>
      <c r="I10" s="17"/>
      <c r="J10" s="17"/>
      <c r="K10" s="17"/>
      <c r="L10" s="17">
        <v>2</v>
      </c>
      <c r="M10" s="17">
        <v>2</v>
      </c>
      <c r="N10" s="17">
        <v>2</v>
      </c>
      <c r="O10" s="17">
        <v>2</v>
      </c>
      <c r="P10" s="17"/>
      <c r="Q10" s="17"/>
      <c r="R10" s="17"/>
      <c r="S10" s="17">
        <v>2</v>
      </c>
      <c r="T10" s="17">
        <v>2</v>
      </c>
      <c r="U10" s="17">
        <v>2</v>
      </c>
      <c r="V10" s="17">
        <v>2</v>
      </c>
      <c r="W10" s="17"/>
      <c r="X10" s="17"/>
      <c r="Y10" s="17"/>
      <c r="Z10" s="17">
        <v>2</v>
      </c>
      <c r="AA10" s="17">
        <v>2</v>
      </c>
      <c r="AB10" s="17">
        <v>2</v>
      </c>
      <c r="AC10" s="17">
        <v>2</v>
      </c>
      <c r="AD10" s="17"/>
      <c r="AE10" s="17"/>
      <c r="AF10" s="17"/>
      <c r="AG10" s="17"/>
      <c r="AH10" s="10">
        <f t="shared" si="1"/>
        <v>32</v>
      </c>
      <c r="AI10" s="1"/>
      <c r="AJ10" s="1"/>
    </row>
    <row r="11" spans="1:36" ht="20.25">
      <c r="A11" s="54">
        <v>320</v>
      </c>
      <c r="B11" s="68" t="str">
        <f>INDYWIDUAL!B11</f>
        <v>Flora Hodoș</v>
      </c>
      <c r="C11" s="8"/>
      <c r="D11" s="8"/>
      <c r="E11" s="8">
        <v>3</v>
      </c>
      <c r="F11" s="8">
        <v>3</v>
      </c>
      <c r="G11" s="8">
        <v>3</v>
      </c>
      <c r="H11" s="8">
        <v>3</v>
      </c>
      <c r="I11" s="8"/>
      <c r="J11" s="8"/>
      <c r="K11" s="8"/>
      <c r="L11" s="8">
        <v>3</v>
      </c>
      <c r="M11" s="8">
        <v>3</v>
      </c>
      <c r="N11" s="8">
        <v>3</v>
      </c>
      <c r="O11" s="8">
        <v>3</v>
      </c>
      <c r="P11" s="8"/>
      <c r="Q11" s="8"/>
      <c r="R11" s="8"/>
      <c r="S11" s="8">
        <v>3</v>
      </c>
      <c r="T11" s="8">
        <v>3</v>
      </c>
      <c r="U11" s="8">
        <v>3</v>
      </c>
      <c r="V11" s="8">
        <v>3</v>
      </c>
      <c r="W11" s="8"/>
      <c r="X11" s="8"/>
      <c r="Y11" s="8"/>
      <c r="Z11" s="8">
        <v>3</v>
      </c>
      <c r="AA11" s="8">
        <v>3</v>
      </c>
      <c r="AB11" s="8">
        <v>3</v>
      </c>
      <c r="AC11" s="8">
        <v>3</v>
      </c>
      <c r="AD11" s="8"/>
      <c r="AE11" s="8"/>
      <c r="AF11" s="8"/>
      <c r="AG11" s="8"/>
      <c r="AH11" s="10">
        <f t="shared" si="1"/>
        <v>48</v>
      </c>
      <c r="AI11" s="11">
        <f>SUM(AH11:AH12)</f>
        <v>96</v>
      </c>
      <c r="AJ11" s="12">
        <f>PRODUCT(AI11/AI12)</f>
        <v>48</v>
      </c>
    </row>
    <row r="12" spans="1:36" ht="20.25">
      <c r="A12" s="54"/>
      <c r="B12" s="68" t="str">
        <f>INDYWIDUAL!B12</f>
        <v>Felföldi Xaviér</v>
      </c>
      <c r="C12" s="8"/>
      <c r="D12" s="8"/>
      <c r="E12" s="8">
        <v>3</v>
      </c>
      <c r="F12" s="8">
        <v>3</v>
      </c>
      <c r="G12" s="8">
        <v>3</v>
      </c>
      <c r="H12" s="8">
        <v>3</v>
      </c>
      <c r="I12" s="8"/>
      <c r="J12" s="8"/>
      <c r="K12" s="8"/>
      <c r="L12" s="8">
        <v>3</v>
      </c>
      <c r="M12" s="8">
        <v>3</v>
      </c>
      <c r="N12" s="8">
        <v>3</v>
      </c>
      <c r="O12" s="8">
        <v>3</v>
      </c>
      <c r="P12" s="8"/>
      <c r="Q12" s="8"/>
      <c r="R12" s="8"/>
      <c r="S12" s="8">
        <v>3</v>
      </c>
      <c r="T12" s="8">
        <v>3</v>
      </c>
      <c r="U12" s="8">
        <v>3</v>
      </c>
      <c r="V12" s="8">
        <v>3</v>
      </c>
      <c r="W12" s="8"/>
      <c r="X12" s="8"/>
      <c r="Y12" s="8"/>
      <c r="Z12" s="8">
        <v>3</v>
      </c>
      <c r="AA12" s="8">
        <v>3</v>
      </c>
      <c r="AB12" s="8">
        <v>3</v>
      </c>
      <c r="AC12" s="8">
        <v>3</v>
      </c>
      <c r="AD12" s="8"/>
      <c r="AE12" s="8"/>
      <c r="AF12" s="8"/>
      <c r="AG12" s="8"/>
      <c r="AH12" s="10">
        <f t="shared" si="1"/>
        <v>48</v>
      </c>
      <c r="AI12" s="11">
        <f>COUNTA(B11:B12)</f>
        <v>2</v>
      </c>
      <c r="AJ12" s="13"/>
    </row>
    <row r="13" spans="1:36" ht="20.25">
      <c r="A13" s="55">
        <v>321</v>
      </c>
      <c r="B13" s="66" t="str">
        <f>INDYWIDUAL!B13</f>
        <v>ნანი კობახიძე</v>
      </c>
      <c r="C13" s="14"/>
      <c r="D13" s="14"/>
      <c r="E13" s="14">
        <v>2</v>
      </c>
      <c r="F13" s="14">
        <v>2</v>
      </c>
      <c r="G13" s="14">
        <v>2</v>
      </c>
      <c r="H13" s="14">
        <v>2</v>
      </c>
      <c r="I13" s="14"/>
      <c r="J13" s="14"/>
      <c r="K13" s="14"/>
      <c r="L13" s="14">
        <v>1</v>
      </c>
      <c r="M13" s="14">
        <v>1</v>
      </c>
      <c r="N13" s="14">
        <v>-1</v>
      </c>
      <c r="O13" s="14">
        <v>-1</v>
      </c>
      <c r="P13" s="14"/>
      <c r="Q13" s="14"/>
      <c r="R13" s="14"/>
      <c r="S13" s="14">
        <v>-1</v>
      </c>
      <c r="T13" s="14">
        <v>-1</v>
      </c>
      <c r="U13" s="14">
        <v>-1</v>
      </c>
      <c r="V13" s="14">
        <v>-1</v>
      </c>
      <c r="W13" s="14"/>
      <c r="X13" s="14"/>
      <c r="Y13" s="14"/>
      <c r="Z13" s="14">
        <v>-1</v>
      </c>
      <c r="AA13" s="14">
        <v>-1</v>
      </c>
      <c r="AB13" s="14">
        <v>-1</v>
      </c>
      <c r="AC13" s="14">
        <v>-1</v>
      </c>
      <c r="AD13" s="14"/>
      <c r="AE13" s="14"/>
      <c r="AF13" s="14"/>
      <c r="AG13" s="14"/>
      <c r="AH13" s="10">
        <f t="shared" si="1"/>
        <v>0</v>
      </c>
      <c r="AI13" s="11">
        <f>SUM(AH13:AH14)</f>
        <v>16</v>
      </c>
      <c r="AJ13" s="12">
        <f>PRODUCT(AI13/AI14)</f>
        <v>8</v>
      </c>
    </row>
    <row r="14" spans="1:36" ht="20.25">
      <c r="A14" s="55"/>
      <c r="B14" s="66" t="str">
        <f>INDYWIDUAL!B14</f>
        <v>Horea Agârbiceanu</v>
      </c>
      <c r="C14" s="14"/>
      <c r="D14" s="14"/>
      <c r="E14" s="14">
        <v>1</v>
      </c>
      <c r="F14" s="14">
        <v>1</v>
      </c>
      <c r="G14" s="14">
        <v>1</v>
      </c>
      <c r="H14" s="14">
        <v>1</v>
      </c>
      <c r="I14" s="14"/>
      <c r="J14" s="14"/>
      <c r="K14" s="14"/>
      <c r="L14" s="14">
        <v>1</v>
      </c>
      <c r="M14" s="14">
        <v>1</v>
      </c>
      <c r="N14" s="14">
        <v>1</v>
      </c>
      <c r="O14" s="14">
        <v>1</v>
      </c>
      <c r="P14" s="14"/>
      <c r="Q14" s="14"/>
      <c r="R14" s="14"/>
      <c r="S14" s="14">
        <v>1</v>
      </c>
      <c r="T14" s="14">
        <v>1</v>
      </c>
      <c r="U14" s="14">
        <v>1</v>
      </c>
      <c r="V14" s="14">
        <v>1</v>
      </c>
      <c r="W14" s="14"/>
      <c r="X14" s="14"/>
      <c r="Y14" s="14"/>
      <c r="Z14" s="14">
        <v>1</v>
      </c>
      <c r="AA14" s="14">
        <v>1</v>
      </c>
      <c r="AB14" s="14">
        <v>1</v>
      </c>
      <c r="AC14" s="14">
        <v>1</v>
      </c>
      <c r="AD14" s="14"/>
      <c r="AE14" s="14"/>
      <c r="AF14" s="14"/>
      <c r="AG14" s="14"/>
      <c r="AH14" s="10">
        <f t="shared" si="1"/>
        <v>16</v>
      </c>
      <c r="AI14" s="11">
        <f>COUNTA(B13:B14)</f>
        <v>2</v>
      </c>
      <c r="AJ14" s="13"/>
    </row>
    <row r="15" spans="1:36" ht="20.25">
      <c r="A15" s="56">
        <v>322</v>
      </c>
      <c r="B15" s="64" t="str">
        <f>INDYWIDUAL!B15</f>
        <v>Caius Câmpineanu</v>
      </c>
      <c r="C15" s="15"/>
      <c r="D15" s="15"/>
      <c r="E15" s="15">
        <v>2</v>
      </c>
      <c r="F15" s="15">
        <v>2</v>
      </c>
      <c r="G15" s="15">
        <v>2</v>
      </c>
      <c r="H15" s="15">
        <v>2</v>
      </c>
      <c r="I15" s="15"/>
      <c r="J15" s="15"/>
      <c r="K15" s="15"/>
      <c r="L15" s="15">
        <v>2</v>
      </c>
      <c r="M15" s="15">
        <v>2</v>
      </c>
      <c r="N15" s="15">
        <v>2</v>
      </c>
      <c r="O15" s="15">
        <v>2</v>
      </c>
      <c r="P15" s="15"/>
      <c r="Q15" s="15"/>
      <c r="R15" s="15"/>
      <c r="S15" s="15">
        <v>2</v>
      </c>
      <c r="T15" s="15">
        <v>2</v>
      </c>
      <c r="U15" s="15">
        <v>2</v>
      </c>
      <c r="V15" s="15">
        <v>2</v>
      </c>
      <c r="W15" s="15"/>
      <c r="X15" s="15"/>
      <c r="Y15" s="15"/>
      <c r="Z15" s="15">
        <v>2</v>
      </c>
      <c r="AA15" s="15">
        <v>2</v>
      </c>
      <c r="AB15" s="15">
        <v>2</v>
      </c>
      <c r="AC15" s="15">
        <v>2</v>
      </c>
      <c r="AD15" s="15"/>
      <c r="AE15" s="15"/>
      <c r="AF15" s="15"/>
      <c r="AG15" s="15"/>
      <c r="AH15" s="10">
        <f t="shared" si="1"/>
        <v>32</v>
      </c>
      <c r="AI15" s="11">
        <f>SUM(AH15:AH16)</f>
        <v>64</v>
      </c>
      <c r="AJ15" s="12">
        <f>PRODUCT(AI15/AI16)</f>
        <v>32</v>
      </c>
    </row>
    <row r="16" spans="1:36" ht="20.25">
      <c r="A16" s="56"/>
      <c r="B16" s="64" t="str">
        <f>INDYWIDUAL!B16</f>
        <v>Rüya Öcal</v>
      </c>
      <c r="C16" s="15"/>
      <c r="D16" s="15"/>
      <c r="E16" s="15">
        <v>2</v>
      </c>
      <c r="F16" s="15">
        <v>2</v>
      </c>
      <c r="G16" s="15">
        <v>2</v>
      </c>
      <c r="H16" s="15">
        <v>2</v>
      </c>
      <c r="I16" s="15"/>
      <c r="J16" s="15"/>
      <c r="K16" s="15"/>
      <c r="L16" s="15">
        <v>2</v>
      </c>
      <c r="M16" s="15">
        <v>2</v>
      </c>
      <c r="N16" s="15">
        <v>2</v>
      </c>
      <c r="O16" s="15">
        <v>2</v>
      </c>
      <c r="P16" s="15"/>
      <c r="Q16" s="15"/>
      <c r="R16" s="15"/>
      <c r="S16" s="15">
        <v>2</v>
      </c>
      <c r="T16" s="15">
        <v>2</v>
      </c>
      <c r="U16" s="15">
        <v>2</v>
      </c>
      <c r="V16" s="15">
        <v>2</v>
      </c>
      <c r="W16" s="15"/>
      <c r="X16" s="15"/>
      <c r="Y16" s="15"/>
      <c r="Z16" s="15">
        <v>2</v>
      </c>
      <c r="AA16" s="15">
        <v>2</v>
      </c>
      <c r="AB16" s="15">
        <v>2</v>
      </c>
      <c r="AC16" s="15">
        <v>2</v>
      </c>
      <c r="AD16" s="15"/>
      <c r="AE16" s="15"/>
      <c r="AF16" s="15"/>
      <c r="AG16" s="15"/>
      <c r="AH16" s="10">
        <f t="shared" si="1"/>
        <v>32</v>
      </c>
      <c r="AI16" s="11">
        <f>COUNTA(B15:B16)</f>
        <v>2</v>
      </c>
      <c r="AJ16" s="13"/>
    </row>
    <row r="17" spans="1:36" ht="20.25">
      <c r="A17" s="57">
        <v>323</v>
      </c>
      <c r="B17" s="65" t="str">
        <f>INDYWIDUAL!B17</f>
        <v>Bhim Khan</v>
      </c>
      <c r="C17" s="16"/>
      <c r="D17" s="16"/>
      <c r="E17" s="16">
        <v>3</v>
      </c>
      <c r="F17" s="16">
        <v>3</v>
      </c>
      <c r="G17" s="16">
        <v>3</v>
      </c>
      <c r="H17" s="16">
        <v>3</v>
      </c>
      <c r="I17" s="16"/>
      <c r="J17" s="16"/>
      <c r="K17" s="16"/>
      <c r="L17" s="16">
        <v>3</v>
      </c>
      <c r="M17" s="16">
        <v>3</v>
      </c>
      <c r="N17" s="16">
        <v>3</v>
      </c>
      <c r="O17" s="16">
        <v>3</v>
      </c>
      <c r="P17" s="16"/>
      <c r="Q17" s="16"/>
      <c r="R17" s="16"/>
      <c r="S17" s="16">
        <v>3</v>
      </c>
      <c r="T17" s="16">
        <v>3</v>
      </c>
      <c r="U17" s="16">
        <v>3</v>
      </c>
      <c r="V17" s="16">
        <v>3</v>
      </c>
      <c r="W17" s="16"/>
      <c r="X17" s="16"/>
      <c r="Y17" s="16"/>
      <c r="Z17" s="16">
        <v>3</v>
      </c>
      <c r="AA17" s="16">
        <v>3</v>
      </c>
      <c r="AB17" s="16">
        <v>3</v>
      </c>
      <c r="AC17" s="16">
        <v>3</v>
      </c>
      <c r="AD17" s="16"/>
      <c r="AE17" s="16"/>
      <c r="AF17" s="16"/>
      <c r="AG17" s="16"/>
      <c r="AH17" s="10">
        <f t="shared" si="1"/>
        <v>48</v>
      </c>
      <c r="AI17" s="11">
        <f>SUM(AH17:AH19)</f>
        <v>144</v>
      </c>
      <c r="AJ17" s="12">
        <f>PRODUCT(AI17/AI18)</f>
        <v>48</v>
      </c>
    </row>
    <row r="18" spans="1:36" ht="20.25">
      <c r="A18" s="57"/>
      <c r="B18" s="65" t="str">
        <f>INDYWIDUAL!B18</f>
        <v>Διγενής Αλεβιζόπουλος</v>
      </c>
      <c r="C18" s="16"/>
      <c r="D18" s="16"/>
      <c r="E18" s="16">
        <v>3</v>
      </c>
      <c r="F18" s="16">
        <v>3</v>
      </c>
      <c r="G18" s="16">
        <v>3</v>
      </c>
      <c r="H18" s="16">
        <v>3</v>
      </c>
      <c r="I18" s="16"/>
      <c r="J18" s="16"/>
      <c r="K18" s="16"/>
      <c r="L18" s="16">
        <v>3</v>
      </c>
      <c r="M18" s="16">
        <v>3</v>
      </c>
      <c r="N18" s="16">
        <v>3</v>
      </c>
      <c r="O18" s="16">
        <v>3</v>
      </c>
      <c r="P18" s="16"/>
      <c r="Q18" s="16"/>
      <c r="R18" s="16"/>
      <c r="S18" s="16">
        <v>3</v>
      </c>
      <c r="T18" s="16">
        <v>3</v>
      </c>
      <c r="U18" s="16">
        <v>3</v>
      </c>
      <c r="V18" s="16">
        <v>3</v>
      </c>
      <c r="W18" s="16"/>
      <c r="X18" s="16"/>
      <c r="Y18" s="16"/>
      <c r="Z18" s="16">
        <v>3</v>
      </c>
      <c r="AA18" s="16">
        <v>3</v>
      </c>
      <c r="AB18" s="16">
        <v>3</v>
      </c>
      <c r="AC18" s="16">
        <v>3</v>
      </c>
      <c r="AD18" s="16"/>
      <c r="AE18" s="16"/>
      <c r="AF18" s="16"/>
      <c r="AG18" s="16"/>
      <c r="AH18" s="10">
        <f t="shared" si="1"/>
        <v>48</v>
      </c>
      <c r="AI18" s="11">
        <f>COUNTA(B17:B19)</f>
        <v>3</v>
      </c>
      <c r="AJ18" s="13"/>
    </row>
    <row r="19" spans="1:36" ht="20.25">
      <c r="A19" s="57"/>
      <c r="B19" s="65" t="str">
        <f>INDYWIDUAL!B19</f>
        <v>Ιππόλυτος Αλεξανδρίδης</v>
      </c>
      <c r="C19" s="16"/>
      <c r="D19" s="16"/>
      <c r="E19" s="16">
        <v>3</v>
      </c>
      <c r="F19" s="16">
        <v>3</v>
      </c>
      <c r="G19" s="16">
        <v>3</v>
      </c>
      <c r="H19" s="16">
        <v>3</v>
      </c>
      <c r="I19" s="16"/>
      <c r="J19" s="16"/>
      <c r="K19" s="16"/>
      <c r="L19" s="16">
        <v>3</v>
      </c>
      <c r="M19" s="16">
        <v>3</v>
      </c>
      <c r="N19" s="16">
        <v>3</v>
      </c>
      <c r="O19" s="16">
        <v>3</v>
      </c>
      <c r="P19" s="16"/>
      <c r="Q19" s="16"/>
      <c r="R19" s="16"/>
      <c r="S19" s="16">
        <v>3</v>
      </c>
      <c r="T19" s="16">
        <v>3</v>
      </c>
      <c r="U19" s="16">
        <v>3</v>
      </c>
      <c r="V19" s="16">
        <v>3</v>
      </c>
      <c r="W19" s="16"/>
      <c r="X19" s="16"/>
      <c r="Y19" s="16"/>
      <c r="Z19" s="16">
        <v>3</v>
      </c>
      <c r="AA19" s="16">
        <v>3</v>
      </c>
      <c r="AB19" s="16">
        <v>3</v>
      </c>
      <c r="AC19" s="16">
        <v>3</v>
      </c>
      <c r="AD19" s="16"/>
      <c r="AE19" s="16"/>
      <c r="AF19" s="16"/>
      <c r="AG19" s="16"/>
      <c r="AH19" s="10">
        <f t="shared" si="1"/>
        <v>48</v>
      </c>
      <c r="AI19" s="11"/>
      <c r="AJ19" s="13"/>
    </row>
    <row r="20" spans="1:36" ht="20.25">
      <c r="A20" s="58">
        <v>326</v>
      </c>
      <c r="B20" s="67" t="str">
        <f>INDYWIDUAL!B20</f>
        <v>Caterina Almaș</v>
      </c>
      <c r="C20" s="17"/>
      <c r="D20" s="17"/>
      <c r="E20" s="17">
        <v>3</v>
      </c>
      <c r="F20" s="17">
        <v>3</v>
      </c>
      <c r="G20" s="17">
        <v>3</v>
      </c>
      <c r="H20" s="17">
        <v>3</v>
      </c>
      <c r="I20" s="17"/>
      <c r="J20" s="17"/>
      <c r="K20" s="17"/>
      <c r="L20" s="17">
        <v>3</v>
      </c>
      <c r="M20" s="17">
        <v>3</v>
      </c>
      <c r="N20" s="17">
        <v>3</v>
      </c>
      <c r="O20" s="17">
        <v>3</v>
      </c>
      <c r="P20" s="17"/>
      <c r="Q20" s="17"/>
      <c r="R20" s="17"/>
      <c r="S20" s="17">
        <v>3</v>
      </c>
      <c r="T20" s="17">
        <v>3</v>
      </c>
      <c r="U20" s="17">
        <v>3</v>
      </c>
      <c r="V20" s="17">
        <v>3</v>
      </c>
      <c r="W20" s="17"/>
      <c r="X20" s="17"/>
      <c r="Y20" s="17"/>
      <c r="Z20" s="17">
        <v>3</v>
      </c>
      <c r="AA20" s="17">
        <v>3</v>
      </c>
      <c r="AB20" s="17">
        <v>3</v>
      </c>
      <c r="AC20" s="17">
        <v>3</v>
      </c>
      <c r="AD20" s="17"/>
      <c r="AE20" s="17"/>
      <c r="AF20" s="17"/>
      <c r="AG20" s="17"/>
      <c r="AH20" s="10">
        <f t="shared" si="1"/>
        <v>48</v>
      </c>
      <c r="AI20" s="11">
        <f>SUM(AH20:AH22)</f>
        <v>144</v>
      </c>
      <c r="AJ20" s="12">
        <f>PRODUCT(AI20/AI21)</f>
        <v>48</v>
      </c>
    </row>
    <row r="21" spans="1:36" ht="20.25">
      <c r="A21" s="58"/>
      <c r="B21" s="67" t="str">
        <f>INDYWIDUAL!B21</f>
        <v>Davy Tom</v>
      </c>
      <c r="C21" s="17"/>
      <c r="D21" s="17"/>
      <c r="E21" s="17">
        <v>3</v>
      </c>
      <c r="F21" s="17">
        <v>3</v>
      </c>
      <c r="G21" s="17">
        <v>3</v>
      </c>
      <c r="H21" s="17">
        <v>3</v>
      </c>
      <c r="I21" s="17"/>
      <c r="J21" s="17"/>
      <c r="K21" s="17"/>
      <c r="L21" s="17">
        <v>3</v>
      </c>
      <c r="M21" s="17">
        <v>3</v>
      </c>
      <c r="N21" s="17">
        <v>3</v>
      </c>
      <c r="O21" s="17">
        <v>3</v>
      </c>
      <c r="P21" s="17"/>
      <c r="Q21" s="17"/>
      <c r="R21" s="17"/>
      <c r="S21" s="17">
        <v>3</v>
      </c>
      <c r="T21" s="17">
        <v>3</v>
      </c>
      <c r="U21" s="17">
        <v>3</v>
      </c>
      <c r="V21" s="17">
        <v>3</v>
      </c>
      <c r="W21" s="17"/>
      <c r="X21" s="17"/>
      <c r="Y21" s="17"/>
      <c r="Z21" s="17">
        <v>3</v>
      </c>
      <c r="AA21" s="17">
        <v>3</v>
      </c>
      <c r="AB21" s="17">
        <v>3</v>
      </c>
      <c r="AC21" s="17">
        <v>3</v>
      </c>
      <c r="AD21" s="17"/>
      <c r="AE21" s="17"/>
      <c r="AF21" s="17"/>
      <c r="AG21" s="17"/>
      <c r="AH21" s="10">
        <f t="shared" si="1"/>
        <v>48</v>
      </c>
      <c r="AI21" s="11">
        <f>COUNTA(B20:B22)</f>
        <v>3</v>
      </c>
      <c r="AJ21" s="13"/>
    </row>
    <row r="22" spans="1:36" ht="20.25">
      <c r="A22" s="58"/>
      <c r="B22" s="67" t="str">
        <f>INDYWIDUAL!B22</f>
        <v>Ambróz Šimko</v>
      </c>
      <c r="C22" s="17"/>
      <c r="D22" s="17"/>
      <c r="E22" s="17">
        <v>3</v>
      </c>
      <c r="F22" s="17">
        <v>3</v>
      </c>
      <c r="G22" s="17">
        <v>3</v>
      </c>
      <c r="H22" s="17">
        <v>3</v>
      </c>
      <c r="I22" s="17"/>
      <c r="J22" s="17"/>
      <c r="K22" s="17"/>
      <c r="L22" s="17">
        <v>3</v>
      </c>
      <c r="M22" s="17">
        <v>3</v>
      </c>
      <c r="N22" s="17">
        <v>3</v>
      </c>
      <c r="O22" s="17">
        <v>3</v>
      </c>
      <c r="P22" s="17"/>
      <c r="Q22" s="17"/>
      <c r="R22" s="17"/>
      <c r="S22" s="17">
        <v>3</v>
      </c>
      <c r="T22" s="17">
        <v>3</v>
      </c>
      <c r="U22" s="17">
        <v>3</v>
      </c>
      <c r="V22" s="17">
        <v>3</v>
      </c>
      <c r="W22" s="17"/>
      <c r="X22" s="17"/>
      <c r="Y22" s="17"/>
      <c r="Z22" s="17">
        <v>3</v>
      </c>
      <c r="AA22" s="17">
        <v>3</v>
      </c>
      <c r="AB22" s="17">
        <v>3</v>
      </c>
      <c r="AC22" s="17">
        <v>3</v>
      </c>
      <c r="AD22" s="17"/>
      <c r="AE22" s="17"/>
      <c r="AF22" s="17"/>
      <c r="AG22" s="17"/>
      <c r="AH22" s="10">
        <f t="shared" si="1"/>
        <v>48</v>
      </c>
      <c r="AI22" s="11"/>
      <c r="AJ22" s="13"/>
    </row>
    <row r="23" spans="1:36" ht="20.25">
      <c r="A23" s="59">
        <v>328</v>
      </c>
      <c r="B23" s="70" t="str">
        <f>INDYWIDUAL!B23</f>
        <v>Viorela Stănculescu</v>
      </c>
      <c r="C23" s="18"/>
      <c r="D23" s="18"/>
      <c r="E23" s="18">
        <v>3</v>
      </c>
      <c r="F23" s="18">
        <v>3</v>
      </c>
      <c r="G23" s="18">
        <v>3</v>
      </c>
      <c r="H23" s="18">
        <v>3</v>
      </c>
      <c r="I23" s="18"/>
      <c r="J23" s="18"/>
      <c r="K23" s="18"/>
      <c r="L23" s="18">
        <v>3</v>
      </c>
      <c r="M23" s="18">
        <v>3</v>
      </c>
      <c r="N23" s="18">
        <v>3</v>
      </c>
      <c r="O23" s="18">
        <v>3</v>
      </c>
      <c r="P23" s="18"/>
      <c r="Q23" s="18"/>
      <c r="R23" s="18"/>
      <c r="S23" s="18">
        <v>3</v>
      </c>
      <c r="T23" s="18">
        <v>3</v>
      </c>
      <c r="U23" s="18">
        <v>3</v>
      </c>
      <c r="V23" s="18">
        <v>3</v>
      </c>
      <c r="W23" s="18"/>
      <c r="X23" s="18"/>
      <c r="Y23" s="18"/>
      <c r="Z23" s="18">
        <v>3</v>
      </c>
      <c r="AA23" s="18">
        <v>3</v>
      </c>
      <c r="AB23" s="18">
        <v>3</v>
      </c>
      <c r="AC23" s="18">
        <v>3</v>
      </c>
      <c r="AD23" s="18"/>
      <c r="AE23" s="18"/>
      <c r="AF23" s="18"/>
      <c r="AG23" s="18"/>
      <c r="AH23" s="10">
        <f t="shared" si="1"/>
        <v>48</v>
      </c>
      <c r="AI23" s="11">
        <f>SUM(AH23:AH25)</f>
        <v>144</v>
      </c>
      <c r="AJ23" s="12">
        <f>PRODUCT(AI23/AI24)</f>
        <v>48</v>
      </c>
    </row>
    <row r="24" spans="1:36" ht="20.25">
      <c r="A24" s="59"/>
      <c r="B24" s="70" t="str">
        <f>INDYWIDUAL!B24</f>
        <v>Chu Kim</v>
      </c>
      <c r="C24" s="18"/>
      <c r="D24" s="18"/>
      <c r="E24" s="18">
        <v>3</v>
      </c>
      <c r="F24" s="18">
        <v>3</v>
      </c>
      <c r="G24" s="18">
        <v>3</v>
      </c>
      <c r="H24" s="18">
        <v>3</v>
      </c>
      <c r="I24" s="18"/>
      <c r="J24" s="18"/>
      <c r="K24" s="18"/>
      <c r="L24" s="18">
        <v>3</v>
      </c>
      <c r="M24" s="18">
        <v>3</v>
      </c>
      <c r="N24" s="18">
        <v>3</v>
      </c>
      <c r="O24" s="18">
        <v>3</v>
      </c>
      <c r="P24" s="18"/>
      <c r="Q24" s="18"/>
      <c r="R24" s="18"/>
      <c r="S24" s="18">
        <v>3</v>
      </c>
      <c r="T24" s="18">
        <v>3</v>
      </c>
      <c r="U24" s="18">
        <v>3</v>
      </c>
      <c r="V24" s="18">
        <v>3</v>
      </c>
      <c r="W24" s="18"/>
      <c r="X24" s="18"/>
      <c r="Y24" s="18"/>
      <c r="Z24" s="18">
        <v>3</v>
      </c>
      <c r="AA24" s="18">
        <v>3</v>
      </c>
      <c r="AB24" s="18">
        <v>3</v>
      </c>
      <c r="AC24" s="18">
        <v>3</v>
      </c>
      <c r="AD24" s="18"/>
      <c r="AE24" s="18"/>
      <c r="AF24" s="18"/>
      <c r="AG24" s="18"/>
      <c r="AH24" s="10">
        <f t="shared" si="1"/>
        <v>48</v>
      </c>
      <c r="AI24" s="11">
        <f>COUNTA(B23:B25)</f>
        <v>3</v>
      </c>
      <c r="AJ24" s="13"/>
    </row>
    <row r="25" spans="1:36" ht="20.25">
      <c r="A25" s="59"/>
      <c r="B25" s="70" t="str">
        <f>INDYWIDUAL!B25</f>
        <v>Arif Haque</v>
      </c>
      <c r="C25" s="18"/>
      <c r="D25" s="18"/>
      <c r="E25" s="18">
        <v>3</v>
      </c>
      <c r="F25" s="18">
        <v>3</v>
      </c>
      <c r="G25" s="18">
        <v>3</v>
      </c>
      <c r="H25" s="18">
        <v>3</v>
      </c>
      <c r="I25" s="18"/>
      <c r="J25" s="18"/>
      <c r="K25" s="18"/>
      <c r="L25" s="18">
        <v>3</v>
      </c>
      <c r="M25" s="18">
        <v>3</v>
      </c>
      <c r="N25" s="18">
        <v>3</v>
      </c>
      <c r="O25" s="18">
        <v>3</v>
      </c>
      <c r="P25" s="18"/>
      <c r="Q25" s="18"/>
      <c r="R25" s="18"/>
      <c r="S25" s="18">
        <v>3</v>
      </c>
      <c r="T25" s="18">
        <v>3</v>
      </c>
      <c r="U25" s="18">
        <v>3</v>
      </c>
      <c r="V25" s="18">
        <v>3</v>
      </c>
      <c r="W25" s="18"/>
      <c r="X25" s="18"/>
      <c r="Y25" s="18"/>
      <c r="Z25" s="18">
        <v>3</v>
      </c>
      <c r="AA25" s="18">
        <v>3</v>
      </c>
      <c r="AB25" s="18">
        <v>3</v>
      </c>
      <c r="AC25" s="18">
        <v>3</v>
      </c>
      <c r="AD25" s="18"/>
      <c r="AE25" s="18"/>
      <c r="AF25" s="18"/>
      <c r="AG25" s="18"/>
      <c r="AH25" s="10">
        <f t="shared" si="1"/>
        <v>48</v>
      </c>
      <c r="AI25" s="11"/>
      <c r="AJ25" s="13"/>
    </row>
    <row r="26" spans="1:36" ht="20.25">
      <c r="A26" s="60">
        <v>329</v>
      </c>
      <c r="B26" s="64" t="str">
        <f>INDYWIDUAL!B26</f>
        <v>Jean Muscă</v>
      </c>
      <c r="C26" s="19"/>
      <c r="D26" s="19"/>
      <c r="E26" s="19">
        <v>3</v>
      </c>
      <c r="F26" s="19">
        <v>3</v>
      </c>
      <c r="G26" s="19">
        <v>3</v>
      </c>
      <c r="H26" s="19">
        <v>3</v>
      </c>
      <c r="I26" s="19"/>
      <c r="J26" s="19"/>
      <c r="K26" s="19"/>
      <c r="L26" s="19">
        <v>3</v>
      </c>
      <c r="M26" s="19">
        <v>2</v>
      </c>
      <c r="N26" s="19">
        <v>3</v>
      </c>
      <c r="O26" s="19">
        <v>3</v>
      </c>
      <c r="P26" s="19"/>
      <c r="Q26" s="19"/>
      <c r="R26" s="19"/>
      <c r="S26" s="19">
        <v>3</v>
      </c>
      <c r="T26" s="19">
        <v>3</v>
      </c>
      <c r="U26" s="19">
        <v>3</v>
      </c>
      <c r="V26" s="19">
        <v>3</v>
      </c>
      <c r="W26" s="19"/>
      <c r="X26" s="19"/>
      <c r="Y26" s="19"/>
      <c r="Z26" s="19">
        <v>3</v>
      </c>
      <c r="AA26" s="19">
        <v>3</v>
      </c>
      <c r="AB26" s="19">
        <v>3</v>
      </c>
      <c r="AC26" s="19">
        <v>3</v>
      </c>
      <c r="AD26" s="19"/>
      <c r="AE26" s="19"/>
      <c r="AF26" s="19"/>
      <c r="AG26" s="19"/>
      <c r="AH26" s="10">
        <f t="shared" si="1"/>
        <v>47</v>
      </c>
      <c r="AI26" s="11">
        <f>SUM(AH26:AH28)</f>
        <v>141</v>
      </c>
      <c r="AJ26" s="12">
        <f>PRODUCT(AI26/AI27)</f>
        <v>47</v>
      </c>
    </row>
    <row r="27" spans="1:36" ht="20.25">
      <c r="A27" s="60"/>
      <c r="B27" s="64" t="str">
        <f>INDYWIDUAL!B27</f>
        <v>Ηλιόδωρος Αντωνόπουλος</v>
      </c>
      <c r="C27" s="19"/>
      <c r="D27" s="19"/>
      <c r="E27" s="19">
        <v>3</v>
      </c>
      <c r="F27" s="19">
        <v>3</v>
      </c>
      <c r="G27" s="19">
        <v>3</v>
      </c>
      <c r="H27" s="19">
        <v>3</v>
      </c>
      <c r="I27" s="19"/>
      <c r="J27" s="19"/>
      <c r="K27" s="19"/>
      <c r="L27" s="19">
        <v>3</v>
      </c>
      <c r="M27" s="19">
        <v>3</v>
      </c>
      <c r="N27" s="19">
        <v>2</v>
      </c>
      <c r="O27" s="19">
        <v>3</v>
      </c>
      <c r="P27" s="19"/>
      <c r="Q27" s="19"/>
      <c r="R27" s="19"/>
      <c r="S27" s="19">
        <v>3</v>
      </c>
      <c r="T27" s="19">
        <v>3</v>
      </c>
      <c r="U27" s="19">
        <v>3</v>
      </c>
      <c r="V27" s="19">
        <v>3</v>
      </c>
      <c r="W27" s="19"/>
      <c r="X27" s="19"/>
      <c r="Y27" s="19"/>
      <c r="Z27" s="19">
        <v>3</v>
      </c>
      <c r="AA27" s="19">
        <v>3</v>
      </c>
      <c r="AB27" s="19">
        <v>3</v>
      </c>
      <c r="AC27" s="19">
        <v>3</v>
      </c>
      <c r="AD27" s="19"/>
      <c r="AE27" s="19"/>
      <c r="AF27" s="19"/>
      <c r="AG27" s="19"/>
      <c r="AH27" s="10">
        <f t="shared" si="1"/>
        <v>47</v>
      </c>
      <c r="AI27" s="11">
        <f>COUNTA(B26:B28)</f>
        <v>3</v>
      </c>
      <c r="AJ27" s="13"/>
    </row>
    <row r="28" spans="1:36" ht="20.25">
      <c r="A28" s="60"/>
      <c r="B28" s="64" t="str">
        <f>INDYWIDUAL!B28</f>
        <v>Male from Mexico</v>
      </c>
      <c r="C28" s="19"/>
      <c r="D28" s="19"/>
      <c r="E28" s="19">
        <v>3</v>
      </c>
      <c r="F28" s="19">
        <v>3</v>
      </c>
      <c r="G28" s="19">
        <v>3</v>
      </c>
      <c r="H28" s="19">
        <v>3</v>
      </c>
      <c r="I28" s="19"/>
      <c r="J28" s="19"/>
      <c r="K28" s="19"/>
      <c r="L28" s="19">
        <v>3</v>
      </c>
      <c r="M28" s="19">
        <v>2</v>
      </c>
      <c r="N28" s="19">
        <v>3</v>
      </c>
      <c r="O28" s="19">
        <v>3</v>
      </c>
      <c r="P28" s="19"/>
      <c r="Q28" s="19"/>
      <c r="R28" s="19"/>
      <c r="S28" s="19">
        <v>3</v>
      </c>
      <c r="T28" s="19">
        <v>3</v>
      </c>
      <c r="U28" s="19">
        <v>3</v>
      </c>
      <c r="V28" s="19">
        <v>3</v>
      </c>
      <c r="W28" s="19"/>
      <c r="X28" s="19"/>
      <c r="Y28" s="19"/>
      <c r="Z28" s="19">
        <v>3</v>
      </c>
      <c r="AA28" s="19">
        <v>3</v>
      </c>
      <c r="AB28" s="19">
        <v>3</v>
      </c>
      <c r="AC28" s="19">
        <v>3</v>
      </c>
      <c r="AD28" s="19"/>
      <c r="AE28" s="19"/>
      <c r="AF28" s="19"/>
      <c r="AG28" s="19"/>
      <c r="AH28" s="10">
        <f t="shared" si="1"/>
        <v>47</v>
      </c>
      <c r="AI28" s="11"/>
      <c r="AJ28" s="13"/>
    </row>
    <row r="29" spans="1:36" ht="20.25">
      <c r="A29" s="25">
        <v>330</v>
      </c>
      <c r="B29" s="71" t="str">
        <f>INDYWIDUAL!B29</f>
        <v>Isidro Santos</v>
      </c>
      <c r="C29" s="20"/>
      <c r="D29" s="20"/>
      <c r="E29" s="20">
        <v>3</v>
      </c>
      <c r="F29" s="20">
        <v>3</v>
      </c>
      <c r="G29" s="20">
        <v>3</v>
      </c>
      <c r="H29" s="20">
        <v>3</v>
      </c>
      <c r="I29" s="20"/>
      <c r="J29" s="20"/>
      <c r="K29" s="20"/>
      <c r="L29" s="20">
        <v>3</v>
      </c>
      <c r="M29" s="20">
        <v>3</v>
      </c>
      <c r="N29" s="20">
        <v>3</v>
      </c>
      <c r="O29" s="20">
        <v>3</v>
      </c>
      <c r="P29" s="20"/>
      <c r="Q29" s="20"/>
      <c r="R29" s="20"/>
      <c r="S29" s="20">
        <v>3</v>
      </c>
      <c r="T29" s="20">
        <v>3</v>
      </c>
      <c r="U29" s="20">
        <v>3</v>
      </c>
      <c r="V29" s="20">
        <v>3</v>
      </c>
      <c r="W29" s="20"/>
      <c r="X29" s="20"/>
      <c r="Y29" s="20"/>
      <c r="Z29" s="20">
        <v>3</v>
      </c>
      <c r="AA29" s="20">
        <v>3</v>
      </c>
      <c r="AB29" s="20">
        <v>3</v>
      </c>
      <c r="AC29" s="20">
        <v>3</v>
      </c>
      <c r="AD29" s="20"/>
      <c r="AE29" s="20"/>
      <c r="AF29" s="20"/>
      <c r="AG29" s="20"/>
      <c r="AH29" s="10">
        <f t="shared" si="1"/>
        <v>48</v>
      </c>
      <c r="AI29" s="11">
        <f>SUM(AH29:AH30)</f>
        <v>96</v>
      </c>
      <c r="AJ29" s="12">
        <f>PRODUCT(AI29/AI30)</f>
        <v>48</v>
      </c>
    </row>
    <row r="30" spans="1:36" ht="20.25">
      <c r="A30" s="26"/>
      <c r="B30" s="69" t="str">
        <f>INDYWIDUAL!B30</f>
        <v>Lana Begović</v>
      </c>
      <c r="C30" s="20"/>
      <c r="D30" s="20"/>
      <c r="E30" s="20">
        <v>3</v>
      </c>
      <c r="F30" s="20">
        <v>3</v>
      </c>
      <c r="G30" s="20">
        <v>3</v>
      </c>
      <c r="H30" s="20">
        <v>3</v>
      </c>
      <c r="I30" s="20"/>
      <c r="J30" s="20"/>
      <c r="K30" s="20"/>
      <c r="L30" s="20">
        <v>3</v>
      </c>
      <c r="M30" s="20">
        <v>3</v>
      </c>
      <c r="N30" s="20">
        <v>3</v>
      </c>
      <c r="O30" s="20">
        <v>3</v>
      </c>
      <c r="P30" s="20"/>
      <c r="Q30" s="20"/>
      <c r="R30" s="20"/>
      <c r="S30" s="20">
        <v>3</v>
      </c>
      <c r="T30" s="20">
        <v>3</v>
      </c>
      <c r="U30" s="20">
        <v>3</v>
      </c>
      <c r="V30" s="20">
        <v>3</v>
      </c>
      <c r="W30" s="20"/>
      <c r="X30" s="20"/>
      <c r="Y30" s="20"/>
      <c r="Z30" s="20">
        <v>3</v>
      </c>
      <c r="AA30" s="20">
        <v>3</v>
      </c>
      <c r="AB30" s="20">
        <v>3</v>
      </c>
      <c r="AC30" s="20">
        <v>3</v>
      </c>
      <c r="AD30" s="20"/>
      <c r="AE30" s="20"/>
      <c r="AF30" s="20"/>
      <c r="AG30" s="20"/>
      <c r="AH30" s="10">
        <f t="shared" si="1"/>
        <v>48</v>
      </c>
      <c r="AI30" s="11">
        <f>COUNTA(B29:B30)</f>
        <v>2</v>
      </c>
      <c r="AJ30" s="13"/>
    </row>
    <row r="31" spans="1:36" ht="20.25">
      <c r="A31" s="58">
        <v>331</v>
      </c>
      <c r="B31" s="67" t="str">
        <f>INDYWIDUAL!B31</f>
        <v>Olborski Jakub</v>
      </c>
      <c r="C31" s="17"/>
      <c r="D31" s="17"/>
      <c r="E31" s="17">
        <v>3</v>
      </c>
      <c r="F31" s="17">
        <v>3</v>
      </c>
      <c r="G31" s="17">
        <v>3</v>
      </c>
      <c r="H31" s="17">
        <v>3</v>
      </c>
      <c r="I31" s="17"/>
      <c r="J31" s="17"/>
      <c r="K31" s="17"/>
      <c r="L31" s="17">
        <v>3</v>
      </c>
      <c r="M31" s="17">
        <v>3</v>
      </c>
      <c r="N31" s="17">
        <v>3</v>
      </c>
      <c r="O31" s="17">
        <v>3</v>
      </c>
      <c r="P31" s="17"/>
      <c r="Q31" s="17"/>
      <c r="R31" s="17"/>
      <c r="S31" s="17">
        <v>3</v>
      </c>
      <c r="T31" s="17">
        <v>3</v>
      </c>
      <c r="U31" s="17">
        <v>3</v>
      </c>
      <c r="V31" s="17">
        <v>3</v>
      </c>
      <c r="W31" s="17"/>
      <c r="X31" s="17"/>
      <c r="Y31" s="17"/>
      <c r="Z31" s="17">
        <v>3</v>
      </c>
      <c r="AA31" s="17">
        <v>3</v>
      </c>
      <c r="AB31" s="17">
        <v>3</v>
      </c>
      <c r="AC31" s="17">
        <v>3</v>
      </c>
      <c r="AD31" s="17"/>
      <c r="AE31" s="17"/>
      <c r="AF31" s="17"/>
      <c r="AG31" s="17"/>
      <c r="AH31" s="10">
        <f t="shared" si="1"/>
        <v>48</v>
      </c>
      <c r="AI31" s="11">
        <f>SUM(AH31:AH32)</f>
        <v>96</v>
      </c>
      <c r="AJ31" s="12">
        <f>PRODUCT(AI31/AI32)</f>
        <v>48</v>
      </c>
    </row>
    <row r="32" spans="1:36" ht="20.25">
      <c r="A32" s="58"/>
      <c r="B32" s="67" t="str">
        <f>INDYWIDUAL!B32</f>
        <v>Górka Szymon</v>
      </c>
      <c r="C32" s="17"/>
      <c r="D32" s="17"/>
      <c r="E32" s="17">
        <v>3</v>
      </c>
      <c r="F32" s="17">
        <v>3</v>
      </c>
      <c r="G32" s="17">
        <v>3</v>
      </c>
      <c r="H32" s="17">
        <v>3</v>
      </c>
      <c r="I32" s="17"/>
      <c r="J32" s="17"/>
      <c r="K32" s="17"/>
      <c r="L32" s="17">
        <v>3</v>
      </c>
      <c r="M32" s="17">
        <v>3</v>
      </c>
      <c r="N32" s="17">
        <v>3</v>
      </c>
      <c r="O32" s="17">
        <v>3</v>
      </c>
      <c r="P32" s="17"/>
      <c r="Q32" s="17"/>
      <c r="R32" s="17"/>
      <c r="S32" s="17">
        <v>3</v>
      </c>
      <c r="T32" s="17">
        <v>3</v>
      </c>
      <c r="U32" s="17">
        <v>3</v>
      </c>
      <c r="V32" s="17">
        <v>3</v>
      </c>
      <c r="W32" s="17"/>
      <c r="X32" s="17"/>
      <c r="Y32" s="17"/>
      <c r="Z32" s="17">
        <v>3</v>
      </c>
      <c r="AA32" s="17">
        <v>3</v>
      </c>
      <c r="AB32" s="17">
        <v>3</v>
      </c>
      <c r="AC32" s="17">
        <v>3</v>
      </c>
      <c r="AD32" s="17"/>
      <c r="AE32" s="17"/>
      <c r="AF32" s="17"/>
      <c r="AG32" s="17"/>
      <c r="AH32" s="10">
        <f t="shared" si="1"/>
        <v>48</v>
      </c>
      <c r="AI32" s="11">
        <f>COUNTA(B31:B32)</f>
        <v>2</v>
      </c>
      <c r="AJ32" s="21"/>
    </row>
    <row r="33" spans="1:36" ht="20.25">
      <c r="A33" s="54">
        <v>332</v>
      </c>
      <c r="B33" s="68" t="str">
        <f>INDYWIDUAL!B33</f>
        <v>Patai Ágnes</v>
      </c>
      <c r="C33" s="8"/>
      <c r="D33" s="8"/>
      <c r="E33" s="8">
        <v>2</v>
      </c>
      <c r="F33" s="8">
        <v>2</v>
      </c>
      <c r="G33" s="8">
        <v>1</v>
      </c>
      <c r="H33" s="8">
        <v>2</v>
      </c>
      <c r="I33" s="8"/>
      <c r="J33" s="8"/>
      <c r="K33" s="8"/>
      <c r="L33" s="8">
        <v>2</v>
      </c>
      <c r="M33" s="8">
        <v>2</v>
      </c>
      <c r="N33" s="8">
        <v>1</v>
      </c>
      <c r="O33" s="8">
        <v>2</v>
      </c>
      <c r="P33" s="8"/>
      <c r="Q33" s="8"/>
      <c r="R33" s="8"/>
      <c r="S33" s="8">
        <v>2</v>
      </c>
      <c r="T33" s="8">
        <v>2</v>
      </c>
      <c r="U33" s="8">
        <v>1</v>
      </c>
      <c r="V33" s="8">
        <v>2</v>
      </c>
      <c r="W33" s="8"/>
      <c r="X33" s="8"/>
      <c r="Y33" s="8"/>
      <c r="Z33" s="8">
        <v>2</v>
      </c>
      <c r="AA33" s="8">
        <v>2</v>
      </c>
      <c r="AB33" s="8">
        <v>1</v>
      </c>
      <c r="AC33" s="8">
        <v>2</v>
      </c>
      <c r="AD33" s="8"/>
      <c r="AE33" s="8"/>
      <c r="AF33" s="8"/>
      <c r="AG33" s="8"/>
      <c r="AH33" s="10">
        <f t="shared" si="1"/>
        <v>28</v>
      </c>
      <c r="AI33" s="11">
        <f>SUM(AH33:AH34)</f>
        <v>52</v>
      </c>
      <c r="AJ33" s="12">
        <f>PRODUCT(AI33/AI34)</f>
        <v>26</v>
      </c>
    </row>
    <row r="34" spans="1:36" ht="20.25">
      <c r="A34" s="54"/>
      <c r="B34" s="68" t="str">
        <f>INDYWIDUAL!B34</f>
        <v>Samikshya Duwadi</v>
      </c>
      <c r="C34" s="8"/>
      <c r="D34" s="8"/>
      <c r="E34" s="8">
        <v>2</v>
      </c>
      <c r="F34" s="8">
        <v>1</v>
      </c>
      <c r="G34" s="8">
        <v>1</v>
      </c>
      <c r="H34" s="8">
        <v>2</v>
      </c>
      <c r="I34" s="8"/>
      <c r="J34" s="8"/>
      <c r="K34" s="8"/>
      <c r="L34" s="8">
        <v>2</v>
      </c>
      <c r="M34" s="8">
        <v>1</v>
      </c>
      <c r="N34" s="8">
        <v>1</v>
      </c>
      <c r="O34" s="8">
        <v>2</v>
      </c>
      <c r="P34" s="8"/>
      <c r="Q34" s="8"/>
      <c r="R34" s="8"/>
      <c r="S34" s="8">
        <v>2</v>
      </c>
      <c r="T34" s="8">
        <v>1</v>
      </c>
      <c r="U34" s="8">
        <v>1</v>
      </c>
      <c r="V34" s="8">
        <v>2</v>
      </c>
      <c r="W34" s="8"/>
      <c r="X34" s="8"/>
      <c r="Y34" s="8"/>
      <c r="Z34" s="8">
        <v>2</v>
      </c>
      <c r="AA34" s="8">
        <v>1</v>
      </c>
      <c r="AB34" s="8">
        <v>1</v>
      </c>
      <c r="AC34" s="8">
        <v>2</v>
      </c>
      <c r="AD34" s="8"/>
      <c r="AE34" s="8"/>
      <c r="AF34" s="8"/>
      <c r="AG34" s="8"/>
      <c r="AH34" s="10">
        <f t="shared" si="1"/>
        <v>24</v>
      </c>
      <c r="AI34" s="11">
        <f>COUNTA(B33:B34)</f>
        <v>2</v>
      </c>
      <c r="AJ34" s="13"/>
    </row>
    <row r="35" spans="1:36" ht="20.25">
      <c r="A35" s="61">
        <v>333</v>
      </c>
      <c r="B35" s="22" t="str">
        <f>INDYWIDUAL!B35</f>
        <v>Salinda Lungeli</v>
      </c>
      <c r="C35" s="23"/>
      <c r="D35" s="23"/>
      <c r="E35" s="23">
        <v>3</v>
      </c>
      <c r="F35" s="23">
        <v>3</v>
      </c>
      <c r="G35" s="23">
        <v>3</v>
      </c>
      <c r="H35" s="23">
        <v>3</v>
      </c>
      <c r="I35" s="23"/>
      <c r="J35" s="23"/>
      <c r="K35" s="23"/>
      <c r="L35" s="23">
        <v>3</v>
      </c>
      <c r="M35" s="23">
        <v>3</v>
      </c>
      <c r="N35" s="23">
        <v>3</v>
      </c>
      <c r="O35" s="23">
        <v>3</v>
      </c>
      <c r="P35" s="23"/>
      <c r="Q35" s="23"/>
      <c r="R35" s="23"/>
      <c r="S35" s="23">
        <v>3</v>
      </c>
      <c r="T35" s="23">
        <v>3</v>
      </c>
      <c r="U35" s="23">
        <v>3</v>
      </c>
      <c r="V35" s="23">
        <v>3</v>
      </c>
      <c r="W35" s="23"/>
      <c r="X35" s="23"/>
      <c r="Y35" s="23"/>
      <c r="Z35" s="23">
        <v>3</v>
      </c>
      <c r="AA35" s="23">
        <v>3</v>
      </c>
      <c r="AB35" s="23">
        <v>3</v>
      </c>
      <c r="AC35" s="23">
        <v>3</v>
      </c>
      <c r="AD35" s="23"/>
      <c r="AE35" s="23"/>
      <c r="AF35" s="23"/>
      <c r="AG35" s="23"/>
      <c r="AH35" s="10">
        <f t="shared" si="1"/>
        <v>48</v>
      </c>
      <c r="AI35" s="11">
        <f>SUM(AH35:AH36)</f>
        <v>96</v>
      </c>
      <c r="AJ35" s="12">
        <f>PRODUCT(AI35/AI36)</f>
        <v>48</v>
      </c>
    </row>
    <row r="36" spans="1:36" ht="20.25">
      <c r="A36" s="61"/>
      <c r="B36" s="22" t="str">
        <f>INDYWIDUAL!B36</f>
        <v>Dani Erika</v>
      </c>
      <c r="C36" s="24"/>
      <c r="D36" s="24"/>
      <c r="E36" s="24">
        <v>3</v>
      </c>
      <c r="F36" s="24">
        <v>3</v>
      </c>
      <c r="G36" s="24">
        <v>3</v>
      </c>
      <c r="H36" s="24">
        <v>3</v>
      </c>
      <c r="I36" s="24"/>
      <c r="J36" s="24"/>
      <c r="K36" s="24"/>
      <c r="L36" s="24">
        <v>3</v>
      </c>
      <c r="M36" s="24">
        <v>3</v>
      </c>
      <c r="N36" s="24">
        <v>3</v>
      </c>
      <c r="O36" s="24">
        <v>3</v>
      </c>
      <c r="P36" s="24"/>
      <c r="Q36" s="24"/>
      <c r="R36" s="24"/>
      <c r="S36" s="24">
        <v>3</v>
      </c>
      <c r="T36" s="24">
        <v>3</v>
      </c>
      <c r="U36" s="24">
        <v>3</v>
      </c>
      <c r="V36" s="24">
        <v>3</v>
      </c>
      <c r="W36" s="24"/>
      <c r="X36" s="24"/>
      <c r="Y36" s="24"/>
      <c r="Z36" s="24">
        <v>3</v>
      </c>
      <c r="AA36" s="24">
        <v>3</v>
      </c>
      <c r="AB36" s="24">
        <v>3</v>
      </c>
      <c r="AC36" s="24">
        <v>3</v>
      </c>
      <c r="AD36" s="24"/>
      <c r="AE36" s="24"/>
      <c r="AF36" s="24"/>
      <c r="AG36" s="24"/>
      <c r="AH36" s="10">
        <f t="shared" si="1"/>
        <v>48</v>
      </c>
      <c r="AI36" s="11">
        <f>COUNTA(B35:B36)</f>
        <v>2</v>
      </c>
      <c r="AJ36" s="13"/>
    </row>
    <row r="37" spans="1:36" ht="20.25">
      <c r="A37" s="62">
        <v>334</v>
      </c>
      <c r="B37" s="66" t="str">
        <f>INDYWIDUAL!B37</f>
        <v>Paulina Florianu</v>
      </c>
      <c r="C37" s="14"/>
      <c r="D37" s="14"/>
      <c r="E37" s="14">
        <v>3</v>
      </c>
      <c r="F37" s="14">
        <v>3</v>
      </c>
      <c r="G37" s="14">
        <v>3</v>
      </c>
      <c r="H37" s="14">
        <v>3</v>
      </c>
      <c r="I37" s="14"/>
      <c r="J37" s="14"/>
      <c r="K37" s="14"/>
      <c r="L37" s="14">
        <v>3</v>
      </c>
      <c r="M37" s="14">
        <v>3</v>
      </c>
      <c r="N37" s="14">
        <v>3</v>
      </c>
      <c r="O37" s="14">
        <v>3</v>
      </c>
      <c r="P37" s="14"/>
      <c r="Q37" s="14"/>
      <c r="R37" s="14"/>
      <c r="S37" s="14">
        <v>3</v>
      </c>
      <c r="T37" s="14">
        <v>3</v>
      </c>
      <c r="U37" s="14">
        <v>3</v>
      </c>
      <c r="V37" s="14">
        <v>3</v>
      </c>
      <c r="W37" s="14"/>
      <c r="X37" s="14"/>
      <c r="Y37" s="14"/>
      <c r="Z37" s="14">
        <v>3</v>
      </c>
      <c r="AA37" s="14">
        <v>3</v>
      </c>
      <c r="AB37" s="14">
        <v>3</v>
      </c>
      <c r="AC37" s="14">
        <v>3</v>
      </c>
      <c r="AD37" s="14"/>
      <c r="AE37" s="14"/>
      <c r="AF37" s="14"/>
      <c r="AG37" s="14"/>
      <c r="AH37" s="10">
        <f t="shared" si="1"/>
        <v>48</v>
      </c>
      <c r="AI37" s="11">
        <f>SUM(AH37:AH39)</f>
        <v>96</v>
      </c>
      <c r="AJ37" s="12">
        <f>PRODUCT(AI37/AI39)</f>
        <v>32</v>
      </c>
    </row>
    <row r="38" spans="1:36" ht="20.25">
      <c r="A38" s="62"/>
      <c r="B38" s="66" t="str">
        <f>INDYWIDUAL!B38</f>
        <v>Jeremy West</v>
      </c>
      <c r="C38" s="14"/>
      <c r="D38" s="14"/>
      <c r="E38" s="14">
        <v>2</v>
      </c>
      <c r="F38" s="14">
        <v>2</v>
      </c>
      <c r="G38" s="14">
        <v>2</v>
      </c>
      <c r="H38" s="14">
        <v>2</v>
      </c>
      <c r="I38" s="14"/>
      <c r="J38" s="14"/>
      <c r="K38" s="14"/>
      <c r="L38" s="14">
        <v>2</v>
      </c>
      <c r="M38" s="14">
        <v>2</v>
      </c>
      <c r="N38" s="14">
        <v>2</v>
      </c>
      <c r="O38" s="14">
        <v>2</v>
      </c>
      <c r="P38" s="14"/>
      <c r="Q38" s="14"/>
      <c r="R38" s="14"/>
      <c r="S38" s="14">
        <v>2</v>
      </c>
      <c r="T38" s="14">
        <v>2</v>
      </c>
      <c r="U38" s="14">
        <v>2</v>
      </c>
      <c r="V38" s="14">
        <v>2</v>
      </c>
      <c r="W38" s="14"/>
      <c r="X38" s="14"/>
      <c r="Y38" s="14"/>
      <c r="Z38" s="14">
        <v>2</v>
      </c>
      <c r="AA38" s="14">
        <v>2</v>
      </c>
      <c r="AB38" s="14">
        <v>2</v>
      </c>
      <c r="AC38" s="14">
        <v>2</v>
      </c>
      <c r="AD38" s="14"/>
      <c r="AE38" s="14"/>
      <c r="AF38" s="14"/>
      <c r="AG38" s="14"/>
      <c r="AH38" s="10">
        <f t="shared" si="1"/>
        <v>32</v>
      </c>
      <c r="AJ38" s="21"/>
    </row>
    <row r="39" spans="1:36" ht="20.25">
      <c r="A39" s="62"/>
      <c r="B39" s="66" t="str">
        <f>INDYWIDUAL!B39</f>
        <v>Dragoș Magheru</v>
      </c>
      <c r="C39" s="14"/>
      <c r="D39" s="14"/>
      <c r="E39" s="14">
        <v>1</v>
      </c>
      <c r="F39" s="14">
        <v>1</v>
      </c>
      <c r="G39" s="14">
        <v>1</v>
      </c>
      <c r="H39" s="14">
        <v>1</v>
      </c>
      <c r="I39" s="14"/>
      <c r="J39" s="14"/>
      <c r="K39" s="14"/>
      <c r="L39" s="14">
        <v>1</v>
      </c>
      <c r="M39" s="14">
        <v>1</v>
      </c>
      <c r="N39" s="14">
        <v>1</v>
      </c>
      <c r="O39" s="14">
        <v>1</v>
      </c>
      <c r="P39" s="14"/>
      <c r="Q39" s="14"/>
      <c r="R39" s="14"/>
      <c r="S39" s="14">
        <v>1</v>
      </c>
      <c r="T39" s="14">
        <v>1</v>
      </c>
      <c r="U39" s="14">
        <v>1</v>
      </c>
      <c r="V39" s="14">
        <v>1</v>
      </c>
      <c r="W39" s="14"/>
      <c r="X39" s="14"/>
      <c r="Y39" s="14"/>
      <c r="Z39" s="14">
        <v>1</v>
      </c>
      <c r="AA39" s="14">
        <v>1</v>
      </c>
      <c r="AB39" s="14">
        <v>1</v>
      </c>
      <c r="AC39" s="14">
        <v>1</v>
      </c>
      <c r="AD39" s="14"/>
      <c r="AE39" s="14"/>
      <c r="AF39" s="14"/>
      <c r="AG39" s="14"/>
      <c r="AH39" s="10">
        <f t="shared" si="1"/>
        <v>16</v>
      </c>
      <c r="AI39" s="11">
        <f>COUNTA(B37:B39)</f>
        <v>3</v>
      </c>
    </row>
  </sheetData>
  <mergeCells count="1">
    <mergeCell ref="E1:M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AMK39"/>
  <sheetViews>
    <sheetView topLeftCell="A22" workbookViewId="0">
      <selection activeCell="B39" sqref="B39"/>
    </sheetView>
  </sheetViews>
  <sheetFormatPr defaultRowHeight="14.25"/>
  <cols>
    <col min="1" max="1" width="6" style="1"/>
    <col min="2" max="2" width="25.5" style="1"/>
    <col min="3" max="33" width="3.125" style="1"/>
    <col min="34" max="34" width="8.625" style="1"/>
    <col min="35" max="35" width="9.5" style="1"/>
    <col min="36" max="36" width="10" style="1"/>
    <col min="37" max="1025" width="9.5" style="1"/>
  </cols>
  <sheetData>
    <row r="1" spans="1:36" ht="21.95" customHeight="1">
      <c r="A1"/>
      <c r="B1" s="2" t="str">
        <f>T(INDYWIDUAL!B1)</f>
        <v>wrzesień</v>
      </c>
      <c r="C1"/>
      <c r="D1"/>
      <c r="E1" s="139" t="s">
        <v>5</v>
      </c>
      <c r="F1" s="139"/>
      <c r="G1" s="139"/>
      <c r="H1" s="139"/>
      <c r="I1" s="139"/>
      <c r="J1" s="139"/>
      <c r="K1" s="139"/>
      <c r="L1" s="139"/>
      <c r="M1" s="139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</row>
    <row r="2" spans="1:36" ht="15">
      <c r="A2" s="3" t="s">
        <v>1</v>
      </c>
      <c r="B2" s="4" t="s">
        <v>2</v>
      </c>
      <c r="C2" s="5">
        <v>1</v>
      </c>
      <c r="D2" s="5">
        <v>2</v>
      </c>
      <c r="E2" s="5">
        <v>3</v>
      </c>
      <c r="F2" s="5">
        <v>4</v>
      </c>
      <c r="G2" s="5">
        <v>5</v>
      </c>
      <c r="H2" s="5">
        <v>6</v>
      </c>
      <c r="I2" s="5">
        <v>7</v>
      </c>
      <c r="J2" s="5">
        <v>8</v>
      </c>
      <c r="K2" s="5">
        <v>9</v>
      </c>
      <c r="L2" s="5">
        <v>10</v>
      </c>
      <c r="M2" s="5">
        <v>11</v>
      </c>
      <c r="N2" s="5">
        <v>12</v>
      </c>
      <c r="O2" s="5">
        <v>13</v>
      </c>
      <c r="P2" s="5">
        <v>14</v>
      </c>
      <c r="Q2" s="5">
        <v>15</v>
      </c>
      <c r="R2" s="5">
        <v>16</v>
      </c>
      <c r="S2" s="5">
        <v>17</v>
      </c>
      <c r="T2" s="5">
        <v>18</v>
      </c>
      <c r="U2" s="5">
        <v>19</v>
      </c>
      <c r="V2" s="5">
        <v>20</v>
      </c>
      <c r="W2" s="5">
        <v>21</v>
      </c>
      <c r="X2" s="5">
        <v>22</v>
      </c>
      <c r="Y2" s="5">
        <v>23</v>
      </c>
      <c r="Z2" s="5">
        <v>24</v>
      </c>
      <c r="AA2" s="5">
        <v>25</v>
      </c>
      <c r="AB2" s="5">
        <v>26</v>
      </c>
      <c r="AC2" s="5">
        <v>27</v>
      </c>
      <c r="AD2" s="5">
        <v>28</v>
      </c>
      <c r="AE2" s="5">
        <v>29</v>
      </c>
      <c r="AF2" s="5">
        <v>30</v>
      </c>
      <c r="AG2" s="5">
        <v>31</v>
      </c>
      <c r="AH2" s="6" t="s">
        <v>3</v>
      </c>
      <c r="AI2"/>
      <c r="AJ2" s="7" t="s">
        <v>4</v>
      </c>
    </row>
    <row r="3" spans="1:36" ht="20.25">
      <c r="A3" s="61">
        <v>312</v>
      </c>
      <c r="B3" s="22" t="str">
        <f>INDYWIDUAL!B3</f>
        <v>Aaron Miller</v>
      </c>
      <c r="C3" s="23"/>
      <c r="D3" s="23"/>
      <c r="E3" s="23">
        <v>2</v>
      </c>
      <c r="F3" s="23">
        <v>2</v>
      </c>
      <c r="G3" s="23">
        <v>2</v>
      </c>
      <c r="H3" s="23">
        <v>2</v>
      </c>
      <c r="I3" s="23"/>
      <c r="J3" s="23"/>
      <c r="K3" s="23"/>
      <c r="L3" s="23">
        <v>2</v>
      </c>
      <c r="M3" s="23">
        <v>2</v>
      </c>
      <c r="N3" s="23">
        <v>2</v>
      </c>
      <c r="O3" s="23">
        <v>2</v>
      </c>
      <c r="P3" s="23"/>
      <c r="Q3" s="23"/>
      <c r="R3" s="23"/>
      <c r="S3" s="23">
        <v>2</v>
      </c>
      <c r="T3" s="23">
        <v>2</v>
      </c>
      <c r="U3" s="23">
        <v>2</v>
      </c>
      <c r="V3" s="23">
        <v>2</v>
      </c>
      <c r="W3" s="23"/>
      <c r="X3" s="23"/>
      <c r="Y3" s="23"/>
      <c r="Z3" s="23">
        <v>2</v>
      </c>
      <c r="AA3" s="23">
        <v>2</v>
      </c>
      <c r="AB3" s="23">
        <v>2</v>
      </c>
      <c r="AC3" s="23">
        <v>2</v>
      </c>
      <c r="AD3" s="23"/>
      <c r="AE3" s="23"/>
      <c r="AF3" s="23"/>
      <c r="AG3" s="23"/>
      <c r="AH3" s="10">
        <f>SUM(C3:AG3)</f>
        <v>32</v>
      </c>
      <c r="AI3" s="11">
        <f>SUM(AH3:AH4)</f>
        <v>80</v>
      </c>
      <c r="AJ3" s="12">
        <f t="shared" ref="AJ3" si="0">PRODUCT(AI3/AI4)</f>
        <v>40</v>
      </c>
    </row>
    <row r="4" spans="1:36" ht="20.25">
      <c r="A4" s="61"/>
      <c r="B4" s="22" t="str">
        <f>INDYWIDUAL!B4</f>
        <v>Amanda Boyd</v>
      </c>
      <c r="C4" s="24"/>
      <c r="D4" s="24"/>
      <c r="E4" s="24">
        <v>3</v>
      </c>
      <c r="F4" s="24">
        <v>3</v>
      </c>
      <c r="G4" s="24">
        <v>3</v>
      </c>
      <c r="H4" s="24">
        <v>3</v>
      </c>
      <c r="I4" s="24"/>
      <c r="J4" s="24"/>
      <c r="K4" s="24"/>
      <c r="L4" s="24">
        <v>3</v>
      </c>
      <c r="M4" s="24">
        <v>3</v>
      </c>
      <c r="N4" s="24">
        <v>3</v>
      </c>
      <c r="O4" s="24">
        <v>3</v>
      </c>
      <c r="P4" s="24"/>
      <c r="Q4" s="24"/>
      <c r="R4" s="24"/>
      <c r="S4" s="24">
        <v>3</v>
      </c>
      <c r="T4" s="24">
        <v>3</v>
      </c>
      <c r="U4" s="24">
        <v>3</v>
      </c>
      <c r="V4" s="24">
        <v>3</v>
      </c>
      <c r="W4" s="24"/>
      <c r="X4" s="24"/>
      <c r="Y4" s="24"/>
      <c r="Z4" s="24">
        <v>3</v>
      </c>
      <c r="AA4" s="24">
        <v>3</v>
      </c>
      <c r="AB4" s="24">
        <v>3</v>
      </c>
      <c r="AC4" s="24">
        <v>3</v>
      </c>
      <c r="AD4" s="24"/>
      <c r="AE4" s="24"/>
      <c r="AF4" s="24"/>
      <c r="AG4" s="24"/>
      <c r="AH4" s="10">
        <f t="shared" ref="AH4:AH39" si="1">SUM(C4:AG4)</f>
        <v>48</v>
      </c>
      <c r="AI4" s="11">
        <f>COUNTA(B3:B4)</f>
        <v>2</v>
      </c>
      <c r="AJ4" s="13"/>
    </row>
    <row r="5" spans="1:36" ht="20.25">
      <c r="A5" s="62">
        <v>313</v>
      </c>
      <c r="B5" s="66" t="str">
        <f>INDYWIDUAL!B5</f>
        <v>Orzełowski Wojciech</v>
      </c>
      <c r="C5" s="14"/>
      <c r="D5" s="14"/>
      <c r="E5" s="14">
        <v>2</v>
      </c>
      <c r="F5" s="14">
        <v>2</v>
      </c>
      <c r="G5" s="14">
        <v>2</v>
      </c>
      <c r="H5" s="14">
        <v>2</v>
      </c>
      <c r="I5" s="14"/>
      <c r="J5" s="14"/>
      <c r="K5" s="14"/>
      <c r="L5" s="14">
        <v>2</v>
      </c>
      <c r="M5" s="14">
        <v>2</v>
      </c>
      <c r="N5" s="14">
        <v>2</v>
      </c>
      <c r="O5" s="14">
        <v>2</v>
      </c>
      <c r="P5" s="14"/>
      <c r="Q5" s="14"/>
      <c r="R5" s="14"/>
      <c r="S5" s="14">
        <v>2</v>
      </c>
      <c r="T5" s="14">
        <v>2</v>
      </c>
      <c r="U5" s="14">
        <v>2</v>
      </c>
      <c r="V5" s="14">
        <v>2</v>
      </c>
      <c r="W5" s="14"/>
      <c r="X5" s="14"/>
      <c r="Y5" s="14"/>
      <c r="Z5" s="14">
        <v>2</v>
      </c>
      <c r="AA5" s="14">
        <v>2</v>
      </c>
      <c r="AB5" s="14">
        <v>2</v>
      </c>
      <c r="AC5" s="14">
        <v>2</v>
      </c>
      <c r="AD5" s="14"/>
      <c r="AE5" s="14"/>
      <c r="AF5" s="14"/>
      <c r="AG5" s="14"/>
      <c r="AH5" s="10">
        <f t="shared" si="1"/>
        <v>32</v>
      </c>
      <c r="AI5" s="11">
        <f t="shared" ref="AI5" si="2">SUM(AH5:AH6)</f>
        <v>64</v>
      </c>
      <c r="AJ5" s="12">
        <f t="shared" ref="AJ5" si="3">PRODUCT(AI5/AI6)</f>
        <v>32</v>
      </c>
    </row>
    <row r="6" spans="1:36" ht="20.25">
      <c r="A6" s="62"/>
      <c r="B6" s="66" t="str">
        <f>INDYWIDUAL!B6</f>
        <v>Crystal Castillo</v>
      </c>
      <c r="C6" s="14"/>
      <c r="D6" s="14"/>
      <c r="E6" s="14">
        <v>2</v>
      </c>
      <c r="F6" s="14">
        <v>2</v>
      </c>
      <c r="G6" s="14">
        <v>2</v>
      </c>
      <c r="H6" s="14">
        <v>2</v>
      </c>
      <c r="I6" s="14"/>
      <c r="J6" s="14"/>
      <c r="K6" s="14"/>
      <c r="L6" s="14">
        <v>2</v>
      </c>
      <c r="M6" s="14">
        <v>2</v>
      </c>
      <c r="N6" s="14">
        <v>2</v>
      </c>
      <c r="O6" s="14">
        <v>2</v>
      </c>
      <c r="P6" s="14"/>
      <c r="Q6" s="14"/>
      <c r="R6" s="14"/>
      <c r="S6" s="14">
        <v>2</v>
      </c>
      <c r="T6" s="14">
        <v>2</v>
      </c>
      <c r="U6" s="14">
        <v>2</v>
      </c>
      <c r="V6" s="14">
        <v>2</v>
      </c>
      <c r="W6" s="14"/>
      <c r="X6" s="14"/>
      <c r="Y6" s="14"/>
      <c r="Z6" s="14">
        <v>2</v>
      </c>
      <c r="AA6" s="14">
        <v>2</v>
      </c>
      <c r="AB6" s="14">
        <v>2</v>
      </c>
      <c r="AC6" s="14">
        <v>2</v>
      </c>
      <c r="AD6" s="14"/>
      <c r="AE6" s="14"/>
      <c r="AF6" s="14"/>
      <c r="AG6" s="14"/>
      <c r="AH6" s="10">
        <f t="shared" si="1"/>
        <v>32</v>
      </c>
      <c r="AI6" s="11">
        <f t="shared" ref="AI6" si="4">COUNTA(B5:B6)</f>
        <v>2</v>
      </c>
      <c r="AJ6" s="13"/>
    </row>
    <row r="7" spans="1:36" ht="20.25">
      <c r="A7" s="58">
        <v>326</v>
      </c>
      <c r="B7" s="67" t="str">
        <f>INDYWIDUAL!B7</f>
        <v>Virginia Rivera</v>
      </c>
      <c r="C7" s="67"/>
      <c r="D7" s="17"/>
      <c r="E7" s="67">
        <v>2</v>
      </c>
      <c r="F7" s="17">
        <v>2</v>
      </c>
      <c r="G7" s="17">
        <v>2</v>
      </c>
      <c r="H7" s="17">
        <v>2</v>
      </c>
      <c r="I7" s="17"/>
      <c r="J7" s="17"/>
      <c r="K7" s="17"/>
      <c r="L7" s="67">
        <v>2</v>
      </c>
      <c r="M7" s="17">
        <v>2</v>
      </c>
      <c r="N7" s="17">
        <v>2</v>
      </c>
      <c r="O7" s="17">
        <v>2</v>
      </c>
      <c r="P7" s="17"/>
      <c r="Q7" s="17"/>
      <c r="R7" s="17"/>
      <c r="S7" s="67">
        <v>2</v>
      </c>
      <c r="T7" s="17">
        <v>2</v>
      </c>
      <c r="U7" s="17">
        <v>2</v>
      </c>
      <c r="V7" s="17">
        <v>2</v>
      </c>
      <c r="W7" s="17"/>
      <c r="X7" s="17"/>
      <c r="Y7" s="17"/>
      <c r="Z7" s="67">
        <v>2</v>
      </c>
      <c r="AA7" s="17">
        <v>2</v>
      </c>
      <c r="AB7" s="17">
        <v>2</v>
      </c>
      <c r="AC7" s="17">
        <v>2</v>
      </c>
      <c r="AD7" s="17"/>
      <c r="AE7" s="17"/>
      <c r="AF7" s="17"/>
      <c r="AG7" s="17"/>
      <c r="AH7" s="10">
        <f t="shared" si="1"/>
        <v>32</v>
      </c>
      <c r="AI7" s="11">
        <f>SUM(AH7:AH10)</f>
        <v>128</v>
      </c>
      <c r="AJ7" s="12">
        <f>PRODUCT(AI7/AI8)</f>
        <v>32</v>
      </c>
    </row>
    <row r="8" spans="1:36" ht="20.25">
      <c r="A8" s="58"/>
      <c r="B8" s="67" t="str">
        <f>INDYWIDUAL!B8</f>
        <v>Barbara McDonald</v>
      </c>
      <c r="C8" s="17"/>
      <c r="D8" s="17"/>
      <c r="E8" s="17">
        <v>2</v>
      </c>
      <c r="F8" s="17">
        <v>2</v>
      </c>
      <c r="G8" s="17">
        <v>2</v>
      </c>
      <c r="H8" s="17">
        <v>2</v>
      </c>
      <c r="I8" s="17"/>
      <c r="J8" s="17"/>
      <c r="K8" s="17"/>
      <c r="L8" s="17">
        <v>2</v>
      </c>
      <c r="M8" s="17">
        <v>2</v>
      </c>
      <c r="N8" s="17">
        <v>2</v>
      </c>
      <c r="O8" s="17">
        <v>2</v>
      </c>
      <c r="P8" s="17"/>
      <c r="Q8" s="17"/>
      <c r="R8" s="17"/>
      <c r="S8" s="17">
        <v>2</v>
      </c>
      <c r="T8" s="17">
        <v>2</v>
      </c>
      <c r="U8" s="17">
        <v>2</v>
      </c>
      <c r="V8" s="17">
        <v>2</v>
      </c>
      <c r="W8" s="17"/>
      <c r="X8" s="17"/>
      <c r="Y8" s="17"/>
      <c r="Z8" s="17">
        <v>2</v>
      </c>
      <c r="AA8" s="17">
        <v>2</v>
      </c>
      <c r="AB8" s="17">
        <v>2</v>
      </c>
      <c r="AC8" s="17">
        <v>2</v>
      </c>
      <c r="AD8" s="17"/>
      <c r="AE8" s="17"/>
      <c r="AF8" s="17"/>
      <c r="AG8" s="17"/>
      <c r="AH8" s="10">
        <f t="shared" si="1"/>
        <v>32</v>
      </c>
      <c r="AI8" s="11">
        <f>COUNTA(B7:B10)</f>
        <v>4</v>
      </c>
      <c r="AJ8" s="13"/>
    </row>
    <row r="9" spans="1:36" ht="20.25">
      <c r="A9" s="58"/>
      <c r="B9" s="67" t="str">
        <f>INDYWIDUAL!B9</f>
        <v>Gustáv Šlahor</v>
      </c>
      <c r="C9" s="17"/>
      <c r="D9" s="17"/>
      <c r="E9" s="17">
        <v>2</v>
      </c>
      <c r="F9" s="17">
        <v>2</v>
      </c>
      <c r="G9" s="17">
        <v>2</v>
      </c>
      <c r="H9" s="17">
        <v>2</v>
      </c>
      <c r="I9" s="17"/>
      <c r="J9" s="17"/>
      <c r="K9" s="17"/>
      <c r="L9" s="17">
        <v>2</v>
      </c>
      <c r="M9" s="17">
        <v>2</v>
      </c>
      <c r="N9" s="17">
        <v>2</v>
      </c>
      <c r="O9" s="17">
        <v>2</v>
      </c>
      <c r="P9" s="17"/>
      <c r="Q9" s="17"/>
      <c r="R9" s="17"/>
      <c r="S9" s="17">
        <v>2</v>
      </c>
      <c r="T9" s="17">
        <v>2</v>
      </c>
      <c r="U9" s="17">
        <v>2</v>
      </c>
      <c r="V9" s="17">
        <v>2</v>
      </c>
      <c r="W9" s="17"/>
      <c r="X9" s="17"/>
      <c r="Y9" s="17"/>
      <c r="Z9" s="17">
        <v>2</v>
      </c>
      <c r="AA9" s="17">
        <v>2</v>
      </c>
      <c r="AB9" s="17">
        <v>2</v>
      </c>
      <c r="AC9" s="17">
        <v>2</v>
      </c>
      <c r="AD9" s="17"/>
      <c r="AE9" s="17"/>
      <c r="AF9" s="17"/>
      <c r="AG9" s="17"/>
      <c r="AH9" s="10">
        <f t="shared" si="1"/>
        <v>32</v>
      </c>
      <c r="AI9" s="11"/>
      <c r="AJ9" s="13"/>
    </row>
    <row r="10" spans="1:36" ht="20.25">
      <c r="A10" s="58"/>
      <c r="B10" s="67" t="str">
        <f>INDYWIDUAL!B10</f>
        <v>Felipe Arroyo</v>
      </c>
      <c r="C10" s="17"/>
      <c r="D10" s="17"/>
      <c r="E10" s="17">
        <v>2</v>
      </c>
      <c r="F10" s="17">
        <v>2</v>
      </c>
      <c r="G10" s="17">
        <v>2</v>
      </c>
      <c r="H10" s="17">
        <v>2</v>
      </c>
      <c r="I10" s="17"/>
      <c r="J10" s="17"/>
      <c r="K10" s="17"/>
      <c r="L10" s="17">
        <v>2</v>
      </c>
      <c r="M10" s="17">
        <v>2</v>
      </c>
      <c r="N10" s="17">
        <v>2</v>
      </c>
      <c r="O10" s="17">
        <v>2</v>
      </c>
      <c r="P10" s="17"/>
      <c r="Q10" s="17"/>
      <c r="R10" s="17"/>
      <c r="S10" s="17">
        <v>2</v>
      </c>
      <c r="T10" s="17">
        <v>2</v>
      </c>
      <c r="U10" s="17">
        <v>2</v>
      </c>
      <c r="V10" s="17">
        <v>2</v>
      </c>
      <c r="W10" s="17"/>
      <c r="X10" s="17"/>
      <c r="Y10" s="17"/>
      <c r="Z10" s="17">
        <v>2</v>
      </c>
      <c r="AA10" s="17">
        <v>2</v>
      </c>
      <c r="AB10" s="17">
        <v>2</v>
      </c>
      <c r="AC10" s="17">
        <v>2</v>
      </c>
      <c r="AD10" s="17"/>
      <c r="AE10" s="17"/>
      <c r="AF10" s="17"/>
      <c r="AG10" s="17"/>
      <c r="AH10" s="10">
        <f t="shared" si="1"/>
        <v>32</v>
      </c>
    </row>
    <row r="11" spans="1:36" ht="20.25">
      <c r="A11" s="54">
        <v>320</v>
      </c>
      <c r="B11" s="68" t="str">
        <f>INDYWIDUAL!B11</f>
        <v>Flora Hodoș</v>
      </c>
      <c r="C11" s="8"/>
      <c r="D11" s="8"/>
      <c r="E11" s="8">
        <v>3</v>
      </c>
      <c r="F11" s="8">
        <v>3</v>
      </c>
      <c r="G11" s="8">
        <v>3</v>
      </c>
      <c r="H11" s="8">
        <v>3</v>
      </c>
      <c r="I11" s="8"/>
      <c r="J11" s="8"/>
      <c r="K11" s="8"/>
      <c r="L11" s="8">
        <v>3</v>
      </c>
      <c r="M11" s="8">
        <v>3</v>
      </c>
      <c r="N11" s="8">
        <v>3</v>
      </c>
      <c r="O11" s="8">
        <v>3</v>
      </c>
      <c r="P11" s="8"/>
      <c r="Q11" s="8"/>
      <c r="R11" s="8"/>
      <c r="S11" s="8">
        <v>3</v>
      </c>
      <c r="T11" s="8">
        <v>3</v>
      </c>
      <c r="U11" s="8">
        <v>3</v>
      </c>
      <c r="V11" s="8">
        <v>3</v>
      </c>
      <c r="W11" s="8"/>
      <c r="X11" s="8"/>
      <c r="Y11" s="8"/>
      <c r="Z11" s="8">
        <v>3</v>
      </c>
      <c r="AA11" s="8">
        <v>3</v>
      </c>
      <c r="AB11" s="8">
        <v>3</v>
      </c>
      <c r="AC11" s="8">
        <v>3</v>
      </c>
      <c r="AD11" s="8"/>
      <c r="AE11" s="8"/>
      <c r="AF11" s="8"/>
      <c r="AG11" s="8"/>
      <c r="AH11" s="10">
        <f t="shared" si="1"/>
        <v>48</v>
      </c>
      <c r="AI11" s="11">
        <f>SUM(AH11:AH12)</f>
        <v>96</v>
      </c>
      <c r="AJ11" s="12">
        <f>PRODUCT(AI11/AI12)</f>
        <v>48</v>
      </c>
    </row>
    <row r="12" spans="1:36" ht="20.25">
      <c r="A12" s="54"/>
      <c r="B12" s="68" t="str">
        <f>INDYWIDUAL!B12</f>
        <v>Felföldi Xaviér</v>
      </c>
      <c r="C12" s="8"/>
      <c r="D12" s="8"/>
      <c r="E12" s="8">
        <v>3</v>
      </c>
      <c r="F12" s="8">
        <v>3</v>
      </c>
      <c r="G12" s="8">
        <v>3</v>
      </c>
      <c r="H12" s="8">
        <v>3</v>
      </c>
      <c r="I12" s="8"/>
      <c r="J12" s="8"/>
      <c r="K12" s="8"/>
      <c r="L12" s="8">
        <v>3</v>
      </c>
      <c r="M12" s="8">
        <v>3</v>
      </c>
      <c r="N12" s="8">
        <v>3</v>
      </c>
      <c r="O12" s="8">
        <v>3</v>
      </c>
      <c r="P12" s="8"/>
      <c r="Q12" s="8"/>
      <c r="R12" s="8"/>
      <c r="S12" s="8">
        <v>3</v>
      </c>
      <c r="T12" s="8">
        <v>3</v>
      </c>
      <c r="U12" s="8">
        <v>3</v>
      </c>
      <c r="V12" s="8">
        <v>3</v>
      </c>
      <c r="W12" s="8"/>
      <c r="X12" s="8"/>
      <c r="Y12" s="8"/>
      <c r="Z12" s="8">
        <v>3</v>
      </c>
      <c r="AA12" s="8">
        <v>3</v>
      </c>
      <c r="AB12" s="8">
        <v>3</v>
      </c>
      <c r="AC12" s="8">
        <v>3</v>
      </c>
      <c r="AD12" s="8"/>
      <c r="AE12" s="8"/>
      <c r="AF12" s="8"/>
      <c r="AG12" s="8"/>
      <c r="AH12" s="10">
        <f t="shared" si="1"/>
        <v>48</v>
      </c>
      <c r="AI12" s="11">
        <f>COUNTA(B11:B12)</f>
        <v>2</v>
      </c>
      <c r="AJ12" s="13"/>
    </row>
    <row r="13" spans="1:36" ht="20.25">
      <c r="A13" s="55">
        <v>321</v>
      </c>
      <c r="B13" s="66" t="str">
        <f>INDYWIDUAL!B13</f>
        <v>ნანი კობახიძე</v>
      </c>
      <c r="C13" s="14"/>
      <c r="D13" s="14"/>
      <c r="E13" s="14">
        <v>1</v>
      </c>
      <c r="F13" s="14">
        <v>1</v>
      </c>
      <c r="G13" s="14">
        <v>1</v>
      </c>
      <c r="H13" s="14">
        <v>1</v>
      </c>
      <c r="I13" s="14"/>
      <c r="J13" s="14"/>
      <c r="K13" s="14"/>
      <c r="L13" s="14">
        <v>1</v>
      </c>
      <c r="M13" s="14">
        <v>1</v>
      </c>
      <c r="N13" s="14">
        <v>1</v>
      </c>
      <c r="O13" s="14">
        <v>1</v>
      </c>
      <c r="P13" s="14"/>
      <c r="Q13" s="14"/>
      <c r="R13" s="14"/>
      <c r="S13" s="14">
        <v>1</v>
      </c>
      <c r="T13" s="14">
        <v>1</v>
      </c>
      <c r="U13" s="14">
        <v>1</v>
      </c>
      <c r="V13" s="14">
        <v>1</v>
      </c>
      <c r="W13" s="14"/>
      <c r="X13" s="14"/>
      <c r="Y13" s="14"/>
      <c r="Z13" s="14">
        <v>1</v>
      </c>
      <c r="AA13" s="14">
        <v>1</v>
      </c>
      <c r="AB13" s="14">
        <v>1</v>
      </c>
      <c r="AC13" s="14">
        <v>1</v>
      </c>
      <c r="AD13" s="14"/>
      <c r="AE13" s="14"/>
      <c r="AF13" s="14"/>
      <c r="AG13" s="14"/>
      <c r="AH13" s="10">
        <f t="shared" si="1"/>
        <v>16</v>
      </c>
      <c r="AI13" s="11">
        <f>SUM(AH13:AH14)</f>
        <v>26</v>
      </c>
      <c r="AJ13" s="12">
        <f>PRODUCT(AI13/AI14)</f>
        <v>13</v>
      </c>
    </row>
    <row r="14" spans="1:36" ht="20.25">
      <c r="A14" s="55"/>
      <c r="B14" s="66" t="str">
        <f>INDYWIDUAL!B14</f>
        <v>Horea Agârbiceanu</v>
      </c>
      <c r="C14" s="14"/>
      <c r="D14" s="14"/>
      <c r="E14" s="14">
        <v>1</v>
      </c>
      <c r="F14" s="14">
        <v>1</v>
      </c>
      <c r="G14" s="14">
        <v>1</v>
      </c>
      <c r="H14" s="14">
        <v>1</v>
      </c>
      <c r="I14" s="14"/>
      <c r="J14" s="14"/>
      <c r="K14" s="14"/>
      <c r="L14" s="14">
        <v>1</v>
      </c>
      <c r="M14" s="14">
        <v>1</v>
      </c>
      <c r="N14" s="14">
        <v>1</v>
      </c>
      <c r="O14" s="14">
        <v>1</v>
      </c>
      <c r="P14" s="14"/>
      <c r="Q14" s="14"/>
      <c r="R14" s="14"/>
      <c r="S14" s="14">
        <v>1</v>
      </c>
      <c r="T14" s="14">
        <v>1</v>
      </c>
      <c r="U14" s="14">
        <v>1</v>
      </c>
      <c r="V14" s="14">
        <v>1</v>
      </c>
      <c r="W14" s="14"/>
      <c r="X14" s="14"/>
      <c r="Y14" s="14"/>
      <c r="Z14" s="14">
        <v>-1</v>
      </c>
      <c r="AA14" s="14">
        <v>-1</v>
      </c>
      <c r="AB14" s="14">
        <v>-1</v>
      </c>
      <c r="AC14" s="14">
        <v>1</v>
      </c>
      <c r="AD14" s="14"/>
      <c r="AE14" s="14"/>
      <c r="AF14" s="14"/>
      <c r="AG14" s="14"/>
      <c r="AH14" s="10">
        <f t="shared" si="1"/>
        <v>10</v>
      </c>
      <c r="AI14" s="11">
        <f>COUNTA(B13:B14)</f>
        <v>2</v>
      </c>
      <c r="AJ14" s="13"/>
    </row>
    <row r="15" spans="1:36" ht="20.25">
      <c r="A15" s="56">
        <v>322</v>
      </c>
      <c r="B15" s="64" t="str">
        <f>INDYWIDUAL!B15</f>
        <v>Caius Câmpineanu</v>
      </c>
      <c r="C15" s="15"/>
      <c r="D15" s="15"/>
      <c r="E15" s="15">
        <v>2</v>
      </c>
      <c r="F15" s="15">
        <v>2</v>
      </c>
      <c r="G15" s="15">
        <v>2</v>
      </c>
      <c r="H15" s="15">
        <v>2</v>
      </c>
      <c r="I15" s="15"/>
      <c r="J15" s="15"/>
      <c r="K15" s="15"/>
      <c r="L15" s="15">
        <v>2</v>
      </c>
      <c r="M15" s="15">
        <v>2</v>
      </c>
      <c r="N15" s="15">
        <v>2</v>
      </c>
      <c r="O15" s="15">
        <v>2</v>
      </c>
      <c r="P15" s="15"/>
      <c r="Q15" s="15"/>
      <c r="R15" s="15"/>
      <c r="S15" s="15">
        <v>2</v>
      </c>
      <c r="T15" s="15">
        <v>2</v>
      </c>
      <c r="U15" s="15">
        <v>2</v>
      </c>
      <c r="V15" s="15">
        <v>2</v>
      </c>
      <c r="W15" s="15"/>
      <c r="X15" s="15"/>
      <c r="Y15" s="15"/>
      <c r="Z15" s="15">
        <v>1</v>
      </c>
      <c r="AA15" s="15">
        <v>1</v>
      </c>
      <c r="AB15" s="15">
        <v>1</v>
      </c>
      <c r="AC15" s="15">
        <v>1</v>
      </c>
      <c r="AD15" s="15"/>
      <c r="AE15" s="15"/>
      <c r="AF15" s="15"/>
      <c r="AG15" s="15"/>
      <c r="AH15" s="10">
        <f t="shared" si="1"/>
        <v>28</v>
      </c>
      <c r="AI15" s="11">
        <f>SUM(AH15:AH16)</f>
        <v>56</v>
      </c>
      <c r="AJ15" s="12">
        <f>PRODUCT(AI15/AI16)</f>
        <v>28</v>
      </c>
    </row>
    <row r="16" spans="1:36" ht="20.25">
      <c r="A16" s="56"/>
      <c r="B16" s="64" t="str">
        <f>INDYWIDUAL!B16</f>
        <v>Rüya Öcal</v>
      </c>
      <c r="C16" s="15"/>
      <c r="D16" s="15"/>
      <c r="E16" s="15">
        <v>2</v>
      </c>
      <c r="F16" s="15">
        <v>2</v>
      </c>
      <c r="G16" s="15">
        <v>2</v>
      </c>
      <c r="H16" s="15">
        <v>2</v>
      </c>
      <c r="I16" s="15"/>
      <c r="J16" s="15"/>
      <c r="K16" s="15"/>
      <c r="L16" s="15">
        <v>2</v>
      </c>
      <c r="M16" s="15">
        <v>2</v>
      </c>
      <c r="N16" s="15">
        <v>2</v>
      </c>
      <c r="O16" s="15">
        <v>2</v>
      </c>
      <c r="P16" s="15"/>
      <c r="Q16" s="15"/>
      <c r="R16" s="15"/>
      <c r="S16" s="15">
        <v>2</v>
      </c>
      <c r="T16" s="15">
        <v>2</v>
      </c>
      <c r="U16" s="15">
        <v>2</v>
      </c>
      <c r="V16" s="15">
        <v>2</v>
      </c>
      <c r="W16" s="15"/>
      <c r="X16" s="15"/>
      <c r="Y16" s="15"/>
      <c r="Z16" s="15">
        <v>1</v>
      </c>
      <c r="AA16" s="15">
        <v>1</v>
      </c>
      <c r="AB16" s="15">
        <v>1</v>
      </c>
      <c r="AC16" s="15">
        <v>1</v>
      </c>
      <c r="AD16" s="15"/>
      <c r="AE16" s="15"/>
      <c r="AF16" s="15"/>
      <c r="AG16" s="15"/>
      <c r="AH16" s="10">
        <f t="shared" si="1"/>
        <v>28</v>
      </c>
      <c r="AI16" s="11">
        <f>COUNTA(B15:B16)</f>
        <v>2</v>
      </c>
      <c r="AJ16" s="13"/>
    </row>
    <row r="17" spans="1:36" ht="20.25">
      <c r="A17" s="57">
        <v>323</v>
      </c>
      <c r="B17" s="65" t="str">
        <f>INDYWIDUAL!B17</f>
        <v>Bhim Khan</v>
      </c>
      <c r="C17" s="16"/>
      <c r="D17" s="16"/>
      <c r="E17" s="16">
        <v>3</v>
      </c>
      <c r="F17" s="16">
        <v>3</v>
      </c>
      <c r="G17" s="16">
        <v>3</v>
      </c>
      <c r="H17" s="16">
        <v>3</v>
      </c>
      <c r="I17" s="16"/>
      <c r="J17" s="16"/>
      <c r="K17" s="16"/>
      <c r="L17" s="16">
        <v>3</v>
      </c>
      <c r="M17" s="16">
        <v>3</v>
      </c>
      <c r="N17" s="16">
        <v>3</v>
      </c>
      <c r="O17" s="16">
        <v>3</v>
      </c>
      <c r="P17" s="16"/>
      <c r="Q17" s="16"/>
      <c r="R17" s="16"/>
      <c r="S17" s="16">
        <v>3</v>
      </c>
      <c r="T17" s="16">
        <v>3</v>
      </c>
      <c r="U17" s="16">
        <v>3</v>
      </c>
      <c r="V17" s="16">
        <v>3</v>
      </c>
      <c r="W17" s="16"/>
      <c r="X17" s="16"/>
      <c r="Y17" s="16"/>
      <c r="Z17" s="16">
        <v>2</v>
      </c>
      <c r="AA17" s="16">
        <v>2</v>
      </c>
      <c r="AB17" s="16">
        <v>2</v>
      </c>
      <c r="AC17" s="16">
        <v>2</v>
      </c>
      <c r="AD17" s="16"/>
      <c r="AE17" s="16"/>
      <c r="AF17" s="16"/>
      <c r="AG17" s="16"/>
      <c r="AH17" s="10">
        <f t="shared" si="1"/>
        <v>44</v>
      </c>
      <c r="AI17" s="11">
        <f>SUM(AH17:AH19)</f>
        <v>132</v>
      </c>
      <c r="AJ17" s="12">
        <f>PRODUCT(AI17/AI18)</f>
        <v>44</v>
      </c>
    </row>
    <row r="18" spans="1:36" ht="20.25">
      <c r="A18" s="57"/>
      <c r="B18" s="65" t="str">
        <f>INDYWIDUAL!B18</f>
        <v>Διγενής Αλεβιζόπουλος</v>
      </c>
      <c r="C18" s="16"/>
      <c r="D18" s="16"/>
      <c r="E18" s="16">
        <v>3</v>
      </c>
      <c r="F18" s="16">
        <v>3</v>
      </c>
      <c r="G18" s="16">
        <v>3</v>
      </c>
      <c r="H18" s="16">
        <v>3</v>
      </c>
      <c r="I18" s="16"/>
      <c r="J18" s="16"/>
      <c r="K18" s="16"/>
      <c r="L18" s="16">
        <v>3</v>
      </c>
      <c r="M18" s="16">
        <v>3</v>
      </c>
      <c r="N18" s="16">
        <v>3</v>
      </c>
      <c r="O18" s="16">
        <v>3</v>
      </c>
      <c r="P18" s="16"/>
      <c r="Q18" s="16"/>
      <c r="R18" s="16"/>
      <c r="S18" s="16">
        <v>3</v>
      </c>
      <c r="T18" s="16">
        <v>3</v>
      </c>
      <c r="U18" s="16">
        <v>3</v>
      </c>
      <c r="V18" s="16">
        <v>3</v>
      </c>
      <c r="W18" s="16"/>
      <c r="X18" s="16"/>
      <c r="Y18" s="16"/>
      <c r="Z18" s="16">
        <v>2</v>
      </c>
      <c r="AA18" s="16">
        <v>2</v>
      </c>
      <c r="AB18" s="16">
        <v>2</v>
      </c>
      <c r="AC18" s="16">
        <v>2</v>
      </c>
      <c r="AD18" s="16"/>
      <c r="AE18" s="16"/>
      <c r="AF18" s="16"/>
      <c r="AG18" s="16"/>
      <c r="AH18" s="10">
        <f t="shared" si="1"/>
        <v>44</v>
      </c>
      <c r="AI18" s="11">
        <f>COUNTA(B17:B19)</f>
        <v>3</v>
      </c>
      <c r="AJ18" s="13"/>
    </row>
    <row r="19" spans="1:36" ht="20.25">
      <c r="A19" s="57"/>
      <c r="B19" s="65" t="str">
        <f>INDYWIDUAL!B19</f>
        <v>Ιππόλυτος Αλεξανδρίδης</v>
      </c>
      <c r="C19" s="16"/>
      <c r="D19" s="16"/>
      <c r="E19" s="16">
        <v>3</v>
      </c>
      <c r="F19" s="16">
        <v>3</v>
      </c>
      <c r="G19" s="16">
        <v>3</v>
      </c>
      <c r="H19" s="16">
        <v>3</v>
      </c>
      <c r="I19" s="16"/>
      <c r="J19" s="16"/>
      <c r="K19" s="16"/>
      <c r="L19" s="16">
        <v>3</v>
      </c>
      <c r="M19" s="16">
        <v>3</v>
      </c>
      <c r="N19" s="16">
        <v>3</v>
      </c>
      <c r="O19" s="16">
        <v>3</v>
      </c>
      <c r="P19" s="16"/>
      <c r="Q19" s="16"/>
      <c r="R19" s="16"/>
      <c r="S19" s="16">
        <v>3</v>
      </c>
      <c r="T19" s="16">
        <v>3</v>
      </c>
      <c r="U19" s="16">
        <v>3</v>
      </c>
      <c r="V19" s="16">
        <v>3</v>
      </c>
      <c r="W19" s="16"/>
      <c r="X19" s="16"/>
      <c r="Y19" s="16"/>
      <c r="Z19" s="16">
        <v>2</v>
      </c>
      <c r="AA19" s="16">
        <v>2</v>
      </c>
      <c r="AB19" s="16">
        <v>2</v>
      </c>
      <c r="AC19" s="16">
        <v>2</v>
      </c>
      <c r="AD19" s="16"/>
      <c r="AE19" s="16"/>
      <c r="AF19" s="16"/>
      <c r="AG19" s="16"/>
      <c r="AH19" s="10">
        <f t="shared" si="1"/>
        <v>44</v>
      </c>
      <c r="AI19" s="11"/>
      <c r="AJ19" s="13"/>
    </row>
    <row r="20" spans="1:36" ht="20.25">
      <c r="A20" s="58">
        <v>326</v>
      </c>
      <c r="B20" s="67" t="str">
        <f>INDYWIDUAL!B20</f>
        <v>Caterina Almaș</v>
      </c>
      <c r="C20" s="17"/>
      <c r="D20" s="17"/>
      <c r="E20" s="17">
        <v>3</v>
      </c>
      <c r="F20" s="17">
        <v>3</v>
      </c>
      <c r="G20" s="17">
        <v>3</v>
      </c>
      <c r="H20" s="17">
        <v>3</v>
      </c>
      <c r="I20" s="17"/>
      <c r="J20" s="17"/>
      <c r="K20" s="17"/>
      <c r="L20" s="17">
        <v>3</v>
      </c>
      <c r="M20" s="17">
        <v>3</v>
      </c>
      <c r="N20" s="17">
        <v>3</v>
      </c>
      <c r="O20" s="17">
        <v>3</v>
      </c>
      <c r="P20" s="17"/>
      <c r="Q20" s="17"/>
      <c r="R20" s="17"/>
      <c r="S20" s="17">
        <v>3</v>
      </c>
      <c r="T20" s="17">
        <v>3</v>
      </c>
      <c r="U20" s="17">
        <v>3</v>
      </c>
      <c r="V20" s="17">
        <v>3</v>
      </c>
      <c r="W20" s="17"/>
      <c r="X20" s="17"/>
      <c r="Y20" s="17"/>
      <c r="Z20" s="17">
        <v>3</v>
      </c>
      <c r="AA20" s="17">
        <v>3</v>
      </c>
      <c r="AB20" s="17">
        <v>3</v>
      </c>
      <c r="AC20" s="17">
        <v>3</v>
      </c>
      <c r="AD20" s="17"/>
      <c r="AE20" s="17"/>
      <c r="AF20" s="17"/>
      <c r="AG20" s="17"/>
      <c r="AH20" s="10">
        <f t="shared" si="1"/>
        <v>48</v>
      </c>
      <c r="AI20" s="11">
        <f>SUM(AH20:AH22)</f>
        <v>144</v>
      </c>
      <c r="AJ20" s="12">
        <f>PRODUCT(AI20/AI21)</f>
        <v>48</v>
      </c>
    </row>
    <row r="21" spans="1:36" ht="20.25">
      <c r="A21" s="58"/>
      <c r="B21" s="67" t="str">
        <f>INDYWIDUAL!B21</f>
        <v>Davy Tom</v>
      </c>
      <c r="C21" s="17"/>
      <c r="D21" s="17"/>
      <c r="E21" s="17">
        <v>3</v>
      </c>
      <c r="F21" s="17">
        <v>3</v>
      </c>
      <c r="G21" s="17">
        <v>3</v>
      </c>
      <c r="H21" s="17">
        <v>3</v>
      </c>
      <c r="I21" s="17"/>
      <c r="J21" s="17"/>
      <c r="K21" s="17"/>
      <c r="L21" s="17">
        <v>3</v>
      </c>
      <c r="M21" s="17">
        <v>3</v>
      </c>
      <c r="N21" s="17">
        <v>3</v>
      </c>
      <c r="O21" s="17">
        <v>3</v>
      </c>
      <c r="P21" s="17"/>
      <c r="Q21" s="17"/>
      <c r="R21" s="17"/>
      <c r="S21" s="17">
        <v>3</v>
      </c>
      <c r="T21" s="17">
        <v>3</v>
      </c>
      <c r="U21" s="17">
        <v>3</v>
      </c>
      <c r="V21" s="17">
        <v>3</v>
      </c>
      <c r="W21" s="17"/>
      <c r="X21" s="17"/>
      <c r="Y21" s="17"/>
      <c r="Z21" s="17">
        <v>3</v>
      </c>
      <c r="AA21" s="17">
        <v>3</v>
      </c>
      <c r="AB21" s="17">
        <v>3</v>
      </c>
      <c r="AC21" s="17">
        <v>3</v>
      </c>
      <c r="AD21" s="17"/>
      <c r="AE21" s="17"/>
      <c r="AF21" s="17"/>
      <c r="AG21" s="17"/>
      <c r="AH21" s="10">
        <f t="shared" si="1"/>
        <v>48</v>
      </c>
      <c r="AI21" s="11">
        <f>COUNTA(B20:B22)</f>
        <v>3</v>
      </c>
      <c r="AJ21" s="13"/>
    </row>
    <row r="22" spans="1:36" ht="20.25">
      <c r="A22" s="58"/>
      <c r="B22" s="67" t="str">
        <f>INDYWIDUAL!B22</f>
        <v>Ambróz Šimko</v>
      </c>
      <c r="C22" s="17"/>
      <c r="D22" s="17"/>
      <c r="E22" s="17">
        <v>3</v>
      </c>
      <c r="F22" s="17">
        <v>3</v>
      </c>
      <c r="G22" s="17">
        <v>3</v>
      </c>
      <c r="H22" s="17">
        <v>3</v>
      </c>
      <c r="I22" s="17"/>
      <c r="J22" s="17"/>
      <c r="K22" s="17"/>
      <c r="L22" s="17">
        <v>3</v>
      </c>
      <c r="M22" s="17">
        <v>3</v>
      </c>
      <c r="N22" s="17">
        <v>3</v>
      </c>
      <c r="O22" s="17">
        <v>3</v>
      </c>
      <c r="P22" s="17"/>
      <c r="Q22" s="17"/>
      <c r="R22" s="17"/>
      <c r="S22" s="17">
        <v>3</v>
      </c>
      <c r="T22" s="17">
        <v>3</v>
      </c>
      <c r="U22" s="17">
        <v>3</v>
      </c>
      <c r="V22" s="17">
        <v>3</v>
      </c>
      <c r="W22" s="17"/>
      <c r="X22" s="17"/>
      <c r="Y22" s="17"/>
      <c r="Z22" s="17">
        <v>3</v>
      </c>
      <c r="AA22" s="17">
        <v>3</v>
      </c>
      <c r="AB22" s="17">
        <v>3</v>
      </c>
      <c r="AC22" s="17">
        <v>3</v>
      </c>
      <c r="AD22" s="17"/>
      <c r="AE22" s="17"/>
      <c r="AF22" s="17"/>
      <c r="AG22" s="17"/>
      <c r="AH22" s="10">
        <f t="shared" si="1"/>
        <v>48</v>
      </c>
      <c r="AI22" s="11"/>
      <c r="AJ22" s="13"/>
    </row>
    <row r="23" spans="1:36" ht="20.25">
      <c r="A23" s="59">
        <v>328</v>
      </c>
      <c r="B23" s="70" t="str">
        <f>INDYWIDUAL!B23</f>
        <v>Viorela Stănculescu</v>
      </c>
      <c r="C23" s="18"/>
      <c r="D23" s="18"/>
      <c r="E23" s="18">
        <v>2</v>
      </c>
      <c r="F23" s="18">
        <v>2</v>
      </c>
      <c r="G23" s="18">
        <v>2</v>
      </c>
      <c r="H23" s="18">
        <v>2</v>
      </c>
      <c r="I23" s="18"/>
      <c r="J23" s="18"/>
      <c r="K23" s="18"/>
      <c r="L23" s="18">
        <v>2</v>
      </c>
      <c r="M23" s="18">
        <v>2</v>
      </c>
      <c r="N23" s="18">
        <v>2</v>
      </c>
      <c r="O23" s="18">
        <v>2</v>
      </c>
      <c r="P23" s="18"/>
      <c r="Q23" s="18"/>
      <c r="R23" s="18"/>
      <c r="S23" s="18">
        <v>2</v>
      </c>
      <c r="T23" s="18">
        <v>2</v>
      </c>
      <c r="U23" s="18">
        <v>2</v>
      </c>
      <c r="V23" s="18">
        <v>2</v>
      </c>
      <c r="W23" s="18"/>
      <c r="X23" s="18"/>
      <c r="Y23" s="18"/>
      <c r="Z23" s="18">
        <v>2</v>
      </c>
      <c r="AA23" s="18">
        <v>2</v>
      </c>
      <c r="AB23" s="18">
        <v>2</v>
      </c>
      <c r="AC23" s="18">
        <v>2</v>
      </c>
      <c r="AD23" s="18"/>
      <c r="AE23" s="18"/>
      <c r="AF23" s="18"/>
      <c r="AG23" s="18"/>
      <c r="AH23" s="10">
        <f t="shared" si="1"/>
        <v>32</v>
      </c>
      <c r="AI23" s="11">
        <f>SUM(AH23:AH25)</f>
        <v>96</v>
      </c>
      <c r="AJ23" s="12">
        <f>PRODUCT(AI23/AI24)</f>
        <v>32</v>
      </c>
    </row>
    <row r="24" spans="1:36" ht="20.25">
      <c r="A24" s="59"/>
      <c r="B24" s="70" t="str">
        <f>INDYWIDUAL!B24</f>
        <v>Chu Kim</v>
      </c>
      <c r="C24" s="18"/>
      <c r="D24" s="18"/>
      <c r="E24" s="18">
        <v>2</v>
      </c>
      <c r="F24" s="18">
        <v>2</v>
      </c>
      <c r="G24" s="18">
        <v>2</v>
      </c>
      <c r="H24" s="18">
        <v>2</v>
      </c>
      <c r="I24" s="18"/>
      <c r="J24" s="18"/>
      <c r="K24" s="18"/>
      <c r="L24" s="18">
        <v>2</v>
      </c>
      <c r="M24" s="18">
        <v>2</v>
      </c>
      <c r="N24" s="18">
        <v>2</v>
      </c>
      <c r="O24" s="18">
        <v>2</v>
      </c>
      <c r="P24" s="18"/>
      <c r="Q24" s="18"/>
      <c r="R24" s="18"/>
      <c r="S24" s="18">
        <v>2</v>
      </c>
      <c r="T24" s="18">
        <v>2</v>
      </c>
      <c r="U24" s="18">
        <v>2</v>
      </c>
      <c r="V24" s="18">
        <v>2</v>
      </c>
      <c r="W24" s="18"/>
      <c r="X24" s="18"/>
      <c r="Y24" s="18"/>
      <c r="Z24" s="18">
        <v>2</v>
      </c>
      <c r="AA24" s="18">
        <v>2</v>
      </c>
      <c r="AB24" s="18">
        <v>2</v>
      </c>
      <c r="AC24" s="18">
        <v>2</v>
      </c>
      <c r="AD24" s="18"/>
      <c r="AE24" s="18"/>
      <c r="AF24" s="18"/>
      <c r="AG24" s="18"/>
      <c r="AH24" s="10">
        <f t="shared" si="1"/>
        <v>32</v>
      </c>
      <c r="AI24" s="11">
        <f>COUNTA(B23:B25)</f>
        <v>3</v>
      </c>
      <c r="AJ24" s="13"/>
    </row>
    <row r="25" spans="1:36" ht="20.25">
      <c r="A25" s="59"/>
      <c r="B25" s="70" t="str">
        <f>INDYWIDUAL!B25</f>
        <v>Arif Haque</v>
      </c>
      <c r="C25" s="18"/>
      <c r="D25" s="18"/>
      <c r="E25" s="18">
        <v>2</v>
      </c>
      <c r="F25" s="18">
        <v>2</v>
      </c>
      <c r="G25" s="18">
        <v>2</v>
      </c>
      <c r="H25" s="18">
        <v>2</v>
      </c>
      <c r="I25" s="18"/>
      <c r="J25" s="18"/>
      <c r="K25" s="18"/>
      <c r="L25" s="18">
        <v>2</v>
      </c>
      <c r="M25" s="18">
        <v>2</v>
      </c>
      <c r="N25" s="18">
        <v>2</v>
      </c>
      <c r="O25" s="18">
        <v>2</v>
      </c>
      <c r="P25" s="18"/>
      <c r="Q25" s="18"/>
      <c r="R25" s="18"/>
      <c r="S25" s="18">
        <v>2</v>
      </c>
      <c r="T25" s="18">
        <v>2</v>
      </c>
      <c r="U25" s="18">
        <v>2</v>
      </c>
      <c r="V25" s="18">
        <v>2</v>
      </c>
      <c r="W25" s="18"/>
      <c r="X25" s="18"/>
      <c r="Y25" s="18"/>
      <c r="Z25" s="18">
        <v>2</v>
      </c>
      <c r="AA25" s="18">
        <v>2</v>
      </c>
      <c r="AB25" s="18">
        <v>2</v>
      </c>
      <c r="AC25" s="18">
        <v>2</v>
      </c>
      <c r="AD25" s="18"/>
      <c r="AE25" s="18"/>
      <c r="AF25" s="18"/>
      <c r="AG25" s="18"/>
      <c r="AH25" s="10">
        <f t="shared" si="1"/>
        <v>32</v>
      </c>
      <c r="AI25" s="11"/>
      <c r="AJ25" s="13"/>
    </row>
    <row r="26" spans="1:36" ht="20.25">
      <c r="A26" s="60">
        <v>329</v>
      </c>
      <c r="B26" s="64" t="str">
        <f>INDYWIDUAL!B26</f>
        <v>Jean Muscă</v>
      </c>
      <c r="C26" s="19"/>
      <c r="D26" s="19"/>
      <c r="E26" s="19">
        <v>3</v>
      </c>
      <c r="F26" s="19">
        <v>3</v>
      </c>
      <c r="G26" s="19">
        <v>3</v>
      </c>
      <c r="H26" s="19">
        <v>3</v>
      </c>
      <c r="I26" s="19"/>
      <c r="J26" s="19"/>
      <c r="K26" s="19"/>
      <c r="L26" s="19">
        <v>3</v>
      </c>
      <c r="M26" s="19">
        <v>3</v>
      </c>
      <c r="N26" s="19">
        <v>3</v>
      </c>
      <c r="O26" s="19">
        <v>3</v>
      </c>
      <c r="P26" s="19"/>
      <c r="Q26" s="19"/>
      <c r="R26" s="19"/>
      <c r="S26" s="19">
        <v>3</v>
      </c>
      <c r="T26" s="19">
        <v>3</v>
      </c>
      <c r="U26" s="19">
        <v>3</v>
      </c>
      <c r="V26" s="19">
        <v>3</v>
      </c>
      <c r="W26" s="19"/>
      <c r="X26" s="19"/>
      <c r="Y26" s="19"/>
      <c r="Z26" s="19">
        <v>3</v>
      </c>
      <c r="AA26" s="19">
        <v>3</v>
      </c>
      <c r="AB26" s="19">
        <v>3</v>
      </c>
      <c r="AC26" s="19">
        <v>3</v>
      </c>
      <c r="AD26" s="19"/>
      <c r="AE26" s="19"/>
      <c r="AF26" s="19"/>
      <c r="AG26" s="19"/>
      <c r="AH26" s="10">
        <f t="shared" si="1"/>
        <v>48</v>
      </c>
      <c r="AI26" s="11">
        <f>SUM(AH26:AH28)</f>
        <v>144</v>
      </c>
      <c r="AJ26" s="12">
        <f>PRODUCT(AI26/AI27)</f>
        <v>48</v>
      </c>
    </row>
    <row r="27" spans="1:36" ht="20.25">
      <c r="A27" s="60"/>
      <c r="B27" s="64" t="str">
        <f>INDYWIDUAL!B27</f>
        <v>Ηλιόδωρος Αντωνόπουλος</v>
      </c>
      <c r="C27" s="19"/>
      <c r="D27" s="19"/>
      <c r="E27" s="19">
        <v>3</v>
      </c>
      <c r="F27" s="19">
        <v>3</v>
      </c>
      <c r="G27" s="19">
        <v>3</v>
      </c>
      <c r="H27" s="19">
        <v>3</v>
      </c>
      <c r="I27" s="19"/>
      <c r="J27" s="19"/>
      <c r="K27" s="19"/>
      <c r="L27" s="19">
        <v>3</v>
      </c>
      <c r="M27" s="19">
        <v>3</v>
      </c>
      <c r="N27" s="19">
        <v>3</v>
      </c>
      <c r="O27" s="19">
        <v>3</v>
      </c>
      <c r="P27" s="19"/>
      <c r="Q27" s="19"/>
      <c r="R27" s="19"/>
      <c r="S27" s="19">
        <v>3</v>
      </c>
      <c r="T27" s="19">
        <v>3</v>
      </c>
      <c r="U27" s="19">
        <v>3</v>
      </c>
      <c r="V27" s="19">
        <v>3</v>
      </c>
      <c r="W27" s="19"/>
      <c r="X27" s="19"/>
      <c r="Y27" s="19"/>
      <c r="Z27" s="19">
        <v>3</v>
      </c>
      <c r="AA27" s="19">
        <v>3</v>
      </c>
      <c r="AB27" s="19">
        <v>3</v>
      </c>
      <c r="AC27" s="19">
        <v>3</v>
      </c>
      <c r="AD27" s="19"/>
      <c r="AE27" s="19"/>
      <c r="AF27" s="19"/>
      <c r="AG27" s="19"/>
      <c r="AH27" s="10">
        <f t="shared" si="1"/>
        <v>48</v>
      </c>
      <c r="AI27" s="11">
        <f>COUNTA(B26:B28)</f>
        <v>3</v>
      </c>
      <c r="AJ27" s="13"/>
    </row>
    <row r="28" spans="1:36" ht="20.25">
      <c r="A28" s="60"/>
      <c r="B28" s="64" t="str">
        <f>INDYWIDUAL!B28</f>
        <v>Male from Mexico</v>
      </c>
      <c r="C28" s="19"/>
      <c r="D28" s="19"/>
      <c r="E28" s="19">
        <v>3</v>
      </c>
      <c r="F28" s="19">
        <v>3</v>
      </c>
      <c r="G28" s="19">
        <v>3</v>
      </c>
      <c r="H28" s="19">
        <v>3</v>
      </c>
      <c r="I28" s="19"/>
      <c r="J28" s="19"/>
      <c r="K28" s="19"/>
      <c r="L28" s="19">
        <v>3</v>
      </c>
      <c r="M28" s="19">
        <v>3</v>
      </c>
      <c r="N28" s="19">
        <v>3</v>
      </c>
      <c r="O28" s="19">
        <v>3</v>
      </c>
      <c r="P28" s="19"/>
      <c r="Q28" s="19"/>
      <c r="R28" s="19"/>
      <c r="S28" s="19">
        <v>3</v>
      </c>
      <c r="T28" s="19">
        <v>3</v>
      </c>
      <c r="U28" s="19">
        <v>3</v>
      </c>
      <c r="V28" s="19">
        <v>3</v>
      </c>
      <c r="W28" s="19"/>
      <c r="X28" s="19"/>
      <c r="Y28" s="19"/>
      <c r="Z28" s="19">
        <v>3</v>
      </c>
      <c r="AA28" s="19">
        <v>3</v>
      </c>
      <c r="AB28" s="19">
        <v>3</v>
      </c>
      <c r="AC28" s="19">
        <v>3</v>
      </c>
      <c r="AD28" s="19"/>
      <c r="AE28" s="19"/>
      <c r="AF28" s="19"/>
      <c r="AG28" s="19"/>
      <c r="AH28" s="10">
        <f t="shared" si="1"/>
        <v>48</v>
      </c>
      <c r="AI28" s="11"/>
      <c r="AJ28" s="13"/>
    </row>
    <row r="29" spans="1:36" ht="20.25">
      <c r="A29" s="25">
        <v>330</v>
      </c>
      <c r="B29" s="71" t="str">
        <f>INDYWIDUAL!B29</f>
        <v>Isidro Santos</v>
      </c>
      <c r="C29" s="20"/>
      <c r="D29" s="20"/>
      <c r="E29" s="20">
        <v>3</v>
      </c>
      <c r="F29" s="20">
        <v>3</v>
      </c>
      <c r="G29" s="20">
        <v>3</v>
      </c>
      <c r="H29" s="20">
        <v>3</v>
      </c>
      <c r="I29" s="20"/>
      <c r="J29" s="20"/>
      <c r="K29" s="20"/>
      <c r="L29" s="20">
        <v>3</v>
      </c>
      <c r="M29" s="20">
        <v>3</v>
      </c>
      <c r="N29" s="20">
        <v>3</v>
      </c>
      <c r="O29" s="20">
        <v>3</v>
      </c>
      <c r="P29" s="20"/>
      <c r="Q29" s="20"/>
      <c r="R29" s="20"/>
      <c r="S29" s="20">
        <v>3</v>
      </c>
      <c r="T29" s="20">
        <v>3</v>
      </c>
      <c r="U29" s="20">
        <v>3</v>
      </c>
      <c r="V29" s="20">
        <v>3</v>
      </c>
      <c r="W29" s="20"/>
      <c r="X29" s="20"/>
      <c r="Y29" s="20"/>
      <c r="Z29" s="20">
        <v>3</v>
      </c>
      <c r="AA29" s="20">
        <v>3</v>
      </c>
      <c r="AB29" s="20">
        <v>3</v>
      </c>
      <c r="AC29" s="20">
        <v>3</v>
      </c>
      <c r="AD29" s="20"/>
      <c r="AE29" s="20"/>
      <c r="AF29" s="20"/>
      <c r="AG29" s="20"/>
      <c r="AH29" s="10">
        <f t="shared" si="1"/>
        <v>48</v>
      </c>
      <c r="AI29" s="11">
        <f>SUM(AH29:AH30)</f>
        <v>96</v>
      </c>
      <c r="AJ29" s="12">
        <f>PRODUCT(AI29/AI30)</f>
        <v>48</v>
      </c>
    </row>
    <row r="30" spans="1:36" ht="20.25">
      <c r="A30" s="26"/>
      <c r="B30" s="69" t="str">
        <f>INDYWIDUAL!B30</f>
        <v>Lana Begović</v>
      </c>
      <c r="C30" s="20"/>
      <c r="D30" s="20"/>
      <c r="E30" s="20">
        <v>3</v>
      </c>
      <c r="F30" s="20">
        <v>3</v>
      </c>
      <c r="G30" s="20">
        <v>3</v>
      </c>
      <c r="H30" s="20">
        <v>3</v>
      </c>
      <c r="I30" s="20"/>
      <c r="J30" s="20"/>
      <c r="K30" s="20"/>
      <c r="L30" s="20">
        <v>3</v>
      </c>
      <c r="M30" s="20">
        <v>3</v>
      </c>
      <c r="N30" s="20">
        <v>3</v>
      </c>
      <c r="O30" s="20">
        <v>3</v>
      </c>
      <c r="P30" s="20"/>
      <c r="Q30" s="20"/>
      <c r="R30" s="20"/>
      <c r="S30" s="20">
        <v>3</v>
      </c>
      <c r="T30" s="20">
        <v>3</v>
      </c>
      <c r="U30" s="20">
        <v>3</v>
      </c>
      <c r="V30" s="20">
        <v>3</v>
      </c>
      <c r="W30" s="20"/>
      <c r="X30" s="20"/>
      <c r="Y30" s="20"/>
      <c r="Z30" s="20">
        <v>3</v>
      </c>
      <c r="AA30" s="20">
        <v>3</v>
      </c>
      <c r="AB30" s="20">
        <v>3</v>
      </c>
      <c r="AC30" s="20">
        <v>3</v>
      </c>
      <c r="AD30" s="20"/>
      <c r="AE30" s="20"/>
      <c r="AF30" s="20"/>
      <c r="AG30" s="20"/>
      <c r="AH30" s="10">
        <f t="shared" si="1"/>
        <v>48</v>
      </c>
      <c r="AI30" s="11">
        <f>COUNTA(B29:B30)</f>
        <v>2</v>
      </c>
      <c r="AJ30" s="13"/>
    </row>
    <row r="31" spans="1:36" ht="20.25">
      <c r="A31" s="58">
        <v>331</v>
      </c>
      <c r="B31" s="67" t="str">
        <f>INDYWIDUAL!B31</f>
        <v>Olborski Jakub</v>
      </c>
      <c r="C31" s="17"/>
      <c r="D31" s="17"/>
      <c r="E31" s="17">
        <v>3</v>
      </c>
      <c r="F31" s="17">
        <v>3</v>
      </c>
      <c r="G31" s="17">
        <v>3</v>
      </c>
      <c r="H31" s="17">
        <v>3</v>
      </c>
      <c r="I31" s="17"/>
      <c r="J31" s="17"/>
      <c r="K31" s="17"/>
      <c r="L31" s="17">
        <v>3</v>
      </c>
      <c r="M31" s="17">
        <v>3</v>
      </c>
      <c r="N31" s="17">
        <v>3</v>
      </c>
      <c r="O31" s="17">
        <v>3</v>
      </c>
      <c r="P31" s="17"/>
      <c r="Q31" s="17"/>
      <c r="R31" s="17"/>
      <c r="S31" s="17">
        <v>3</v>
      </c>
      <c r="T31" s="17">
        <v>3</v>
      </c>
      <c r="U31" s="17">
        <v>3</v>
      </c>
      <c r="V31" s="17">
        <v>3</v>
      </c>
      <c r="W31" s="17"/>
      <c r="X31" s="17"/>
      <c r="Y31" s="17"/>
      <c r="Z31" s="17">
        <v>3</v>
      </c>
      <c r="AA31" s="17">
        <v>3</v>
      </c>
      <c r="AB31" s="17">
        <v>3</v>
      </c>
      <c r="AC31" s="17">
        <v>3</v>
      </c>
      <c r="AD31" s="17"/>
      <c r="AE31" s="17"/>
      <c r="AF31" s="17"/>
      <c r="AG31" s="17"/>
      <c r="AH31" s="10">
        <f t="shared" si="1"/>
        <v>48</v>
      </c>
      <c r="AI31" s="11">
        <f>SUM(AH31:AH32)</f>
        <v>96</v>
      </c>
      <c r="AJ31" s="12">
        <f>PRODUCT(AI31/AI32)</f>
        <v>48</v>
      </c>
    </row>
    <row r="32" spans="1:36" ht="20.25">
      <c r="A32" s="58"/>
      <c r="B32" s="67" t="str">
        <f>INDYWIDUAL!B32</f>
        <v>Górka Szymon</v>
      </c>
      <c r="C32" s="17"/>
      <c r="D32" s="17"/>
      <c r="E32" s="17">
        <v>3</v>
      </c>
      <c r="F32" s="17">
        <v>3</v>
      </c>
      <c r="G32" s="17">
        <v>3</v>
      </c>
      <c r="H32" s="17">
        <v>3</v>
      </c>
      <c r="I32" s="17"/>
      <c r="J32" s="17"/>
      <c r="K32" s="17"/>
      <c r="L32" s="17">
        <v>3</v>
      </c>
      <c r="M32" s="17">
        <v>3</v>
      </c>
      <c r="N32" s="17">
        <v>3</v>
      </c>
      <c r="O32" s="17">
        <v>3</v>
      </c>
      <c r="P32" s="17"/>
      <c r="Q32" s="17"/>
      <c r="R32" s="17"/>
      <c r="S32" s="17">
        <v>3</v>
      </c>
      <c r="T32" s="17">
        <v>3</v>
      </c>
      <c r="U32" s="17">
        <v>3</v>
      </c>
      <c r="V32" s="17">
        <v>3</v>
      </c>
      <c r="W32" s="17"/>
      <c r="X32" s="17"/>
      <c r="Y32" s="17"/>
      <c r="Z32" s="17">
        <v>3</v>
      </c>
      <c r="AA32" s="17">
        <v>3</v>
      </c>
      <c r="AB32" s="17">
        <v>3</v>
      </c>
      <c r="AC32" s="17">
        <v>3</v>
      </c>
      <c r="AD32" s="17"/>
      <c r="AE32" s="17"/>
      <c r="AF32" s="17"/>
      <c r="AG32" s="17"/>
      <c r="AH32" s="10">
        <f t="shared" si="1"/>
        <v>48</v>
      </c>
      <c r="AI32" s="11">
        <f>COUNTA(B31:B32)</f>
        <v>2</v>
      </c>
      <c r="AJ32" s="21"/>
    </row>
    <row r="33" spans="1:36" ht="20.25">
      <c r="A33" s="54">
        <v>332</v>
      </c>
      <c r="B33" s="68" t="str">
        <f>INDYWIDUAL!B33</f>
        <v>Patai Ágnes</v>
      </c>
      <c r="C33" s="8"/>
      <c r="D33" s="8"/>
      <c r="E33" s="8">
        <v>2</v>
      </c>
      <c r="F33" s="8">
        <v>2</v>
      </c>
      <c r="G33" s="8">
        <v>2</v>
      </c>
      <c r="H33" s="8">
        <v>2</v>
      </c>
      <c r="I33" s="8"/>
      <c r="J33" s="8"/>
      <c r="K33" s="8"/>
      <c r="L33" s="8">
        <v>2</v>
      </c>
      <c r="M33" s="8">
        <v>2</v>
      </c>
      <c r="N33" s="8">
        <v>2</v>
      </c>
      <c r="O33" s="8">
        <v>2</v>
      </c>
      <c r="P33" s="8"/>
      <c r="Q33" s="8"/>
      <c r="R33" s="8"/>
      <c r="S33" s="8">
        <v>2</v>
      </c>
      <c r="T33" s="8">
        <v>2</v>
      </c>
      <c r="U33" s="8">
        <v>2</v>
      </c>
      <c r="V33" s="8">
        <v>2</v>
      </c>
      <c r="W33" s="8"/>
      <c r="X33" s="8"/>
      <c r="Y33" s="8"/>
      <c r="Z33" s="8">
        <v>2</v>
      </c>
      <c r="AA33" s="8">
        <v>2</v>
      </c>
      <c r="AB33" s="8">
        <v>2</v>
      </c>
      <c r="AC33" s="8">
        <v>2</v>
      </c>
      <c r="AD33" s="8"/>
      <c r="AE33" s="8"/>
      <c r="AF33" s="8"/>
      <c r="AG33" s="8"/>
      <c r="AH33" s="10">
        <f t="shared" si="1"/>
        <v>32</v>
      </c>
      <c r="AI33" s="11">
        <f>SUM(AH33:AH34)</f>
        <v>64</v>
      </c>
      <c r="AJ33" s="12">
        <f>PRODUCT(AI33/AI34)</f>
        <v>32</v>
      </c>
    </row>
    <row r="34" spans="1:36" ht="20.25">
      <c r="A34" s="54"/>
      <c r="B34" s="68" t="str">
        <f>INDYWIDUAL!B34</f>
        <v>Samikshya Duwadi</v>
      </c>
      <c r="C34" s="8"/>
      <c r="D34" s="8"/>
      <c r="E34" s="8">
        <v>2</v>
      </c>
      <c r="F34" s="8">
        <v>2</v>
      </c>
      <c r="G34" s="8">
        <v>2</v>
      </c>
      <c r="H34" s="8">
        <v>2</v>
      </c>
      <c r="I34" s="8"/>
      <c r="J34" s="8"/>
      <c r="K34" s="8"/>
      <c r="L34" s="8">
        <v>2</v>
      </c>
      <c r="M34" s="8">
        <v>2</v>
      </c>
      <c r="N34" s="8">
        <v>2</v>
      </c>
      <c r="O34" s="8">
        <v>2</v>
      </c>
      <c r="P34" s="8"/>
      <c r="Q34" s="8"/>
      <c r="R34" s="8"/>
      <c r="S34" s="8">
        <v>2</v>
      </c>
      <c r="T34" s="8">
        <v>2</v>
      </c>
      <c r="U34" s="8">
        <v>2</v>
      </c>
      <c r="V34" s="8">
        <v>2</v>
      </c>
      <c r="W34" s="8"/>
      <c r="X34" s="8"/>
      <c r="Y34" s="8"/>
      <c r="Z34" s="8">
        <v>2</v>
      </c>
      <c r="AA34" s="8">
        <v>2</v>
      </c>
      <c r="AB34" s="8">
        <v>2</v>
      </c>
      <c r="AC34" s="8">
        <v>2</v>
      </c>
      <c r="AD34" s="8"/>
      <c r="AE34" s="8"/>
      <c r="AF34" s="8"/>
      <c r="AG34" s="8"/>
      <c r="AH34" s="10">
        <f t="shared" si="1"/>
        <v>32</v>
      </c>
      <c r="AI34" s="11">
        <f>COUNTA(B33:B34)</f>
        <v>2</v>
      </c>
      <c r="AJ34" s="13"/>
    </row>
    <row r="35" spans="1:36" ht="20.25">
      <c r="A35" s="61">
        <v>333</v>
      </c>
      <c r="B35" s="22" t="str">
        <f>INDYWIDUAL!B35</f>
        <v>Salinda Lungeli</v>
      </c>
      <c r="C35" s="23"/>
      <c r="D35" s="23"/>
      <c r="E35" s="23">
        <v>3</v>
      </c>
      <c r="F35" s="23">
        <v>3</v>
      </c>
      <c r="G35" s="23">
        <v>3</v>
      </c>
      <c r="H35" s="23">
        <v>3</v>
      </c>
      <c r="I35" s="23"/>
      <c r="J35" s="23"/>
      <c r="K35" s="23"/>
      <c r="L35" s="23">
        <v>3</v>
      </c>
      <c r="M35" s="23">
        <v>3</v>
      </c>
      <c r="N35" s="23">
        <v>3</v>
      </c>
      <c r="O35" s="23">
        <v>3</v>
      </c>
      <c r="P35" s="23"/>
      <c r="Q35" s="23"/>
      <c r="R35" s="23"/>
      <c r="S35" s="23">
        <v>3</v>
      </c>
      <c r="T35" s="23">
        <v>3</v>
      </c>
      <c r="U35" s="23">
        <v>3</v>
      </c>
      <c r="V35" s="23">
        <v>3</v>
      </c>
      <c r="W35" s="23"/>
      <c r="X35" s="23"/>
      <c r="Y35" s="23"/>
      <c r="Z35" s="23">
        <v>3</v>
      </c>
      <c r="AA35" s="23">
        <v>3</v>
      </c>
      <c r="AB35" s="23">
        <v>3</v>
      </c>
      <c r="AC35" s="23">
        <v>3</v>
      </c>
      <c r="AD35" s="23"/>
      <c r="AE35" s="23"/>
      <c r="AF35" s="23"/>
      <c r="AG35" s="23"/>
      <c r="AH35" s="10">
        <f t="shared" si="1"/>
        <v>48</v>
      </c>
      <c r="AI35" s="11">
        <f>SUM(AH35:AH36)</f>
        <v>96</v>
      </c>
      <c r="AJ35" s="12">
        <f>PRODUCT(AI35/AI36)</f>
        <v>48</v>
      </c>
    </row>
    <row r="36" spans="1:36" ht="20.25">
      <c r="A36" s="61"/>
      <c r="B36" s="22" t="str">
        <f>INDYWIDUAL!B36</f>
        <v>Dani Erika</v>
      </c>
      <c r="C36" s="24"/>
      <c r="D36" s="24"/>
      <c r="E36" s="24">
        <v>3</v>
      </c>
      <c r="F36" s="24">
        <v>3</v>
      </c>
      <c r="G36" s="24">
        <v>3</v>
      </c>
      <c r="H36" s="24">
        <v>3</v>
      </c>
      <c r="I36" s="24"/>
      <c r="J36" s="24"/>
      <c r="K36" s="24"/>
      <c r="L36" s="24">
        <v>3</v>
      </c>
      <c r="M36" s="24">
        <v>3</v>
      </c>
      <c r="N36" s="24">
        <v>3</v>
      </c>
      <c r="O36" s="24">
        <v>3</v>
      </c>
      <c r="P36" s="24"/>
      <c r="Q36" s="24"/>
      <c r="R36" s="24"/>
      <c r="S36" s="24">
        <v>3</v>
      </c>
      <c r="T36" s="24">
        <v>3</v>
      </c>
      <c r="U36" s="24">
        <v>3</v>
      </c>
      <c r="V36" s="24">
        <v>3</v>
      </c>
      <c r="W36" s="24"/>
      <c r="X36" s="24"/>
      <c r="Y36" s="24"/>
      <c r="Z36" s="24">
        <v>3</v>
      </c>
      <c r="AA36" s="24">
        <v>3</v>
      </c>
      <c r="AB36" s="24">
        <v>3</v>
      </c>
      <c r="AC36" s="24">
        <v>3</v>
      </c>
      <c r="AD36" s="24"/>
      <c r="AE36" s="24"/>
      <c r="AF36" s="24"/>
      <c r="AG36" s="24"/>
      <c r="AH36" s="10">
        <f t="shared" si="1"/>
        <v>48</v>
      </c>
      <c r="AI36" s="11">
        <f>COUNTA(B35:B36)</f>
        <v>2</v>
      </c>
      <c r="AJ36" s="13"/>
    </row>
    <row r="37" spans="1:36" ht="20.25">
      <c r="A37" s="62">
        <v>334</v>
      </c>
      <c r="B37" s="66" t="str">
        <f>INDYWIDUAL!B37</f>
        <v>Paulina Florianu</v>
      </c>
      <c r="C37" s="14"/>
      <c r="D37" s="14"/>
      <c r="E37" s="14">
        <v>3</v>
      </c>
      <c r="F37" s="14">
        <v>3</v>
      </c>
      <c r="G37" s="14">
        <v>3</v>
      </c>
      <c r="H37" s="14">
        <v>3</v>
      </c>
      <c r="I37" s="14"/>
      <c r="J37" s="14"/>
      <c r="K37" s="14"/>
      <c r="L37" s="14">
        <v>3</v>
      </c>
      <c r="M37" s="14">
        <v>3</v>
      </c>
      <c r="N37" s="14">
        <v>3</v>
      </c>
      <c r="O37" s="14">
        <v>3</v>
      </c>
      <c r="P37" s="14"/>
      <c r="Q37" s="14"/>
      <c r="R37" s="14"/>
      <c r="S37" s="14">
        <v>3</v>
      </c>
      <c r="T37" s="14">
        <v>3</v>
      </c>
      <c r="U37" s="14">
        <v>3</v>
      </c>
      <c r="V37" s="14">
        <v>3</v>
      </c>
      <c r="W37" s="14"/>
      <c r="X37" s="14"/>
      <c r="Y37" s="14"/>
      <c r="Z37" s="14">
        <v>3</v>
      </c>
      <c r="AA37" s="14">
        <v>3</v>
      </c>
      <c r="AB37" s="14">
        <v>3</v>
      </c>
      <c r="AC37" s="14">
        <v>3</v>
      </c>
      <c r="AD37" s="14"/>
      <c r="AE37" s="14"/>
      <c r="AF37" s="14"/>
      <c r="AG37" s="14"/>
      <c r="AH37" s="10">
        <f t="shared" si="1"/>
        <v>48</v>
      </c>
      <c r="AI37" s="11">
        <f>SUM(AH37:AH39)</f>
        <v>96</v>
      </c>
      <c r="AJ37" s="12">
        <f>PRODUCT(AI37/AI39)</f>
        <v>32</v>
      </c>
    </row>
    <row r="38" spans="1:36" ht="20.25">
      <c r="A38" s="62"/>
      <c r="B38" s="66" t="str">
        <f>INDYWIDUAL!B38</f>
        <v>Jeremy West</v>
      </c>
      <c r="C38" s="14"/>
      <c r="D38" s="14"/>
      <c r="E38" s="14">
        <v>2</v>
      </c>
      <c r="F38" s="14">
        <v>2</v>
      </c>
      <c r="G38" s="14">
        <v>2</v>
      </c>
      <c r="H38" s="14">
        <v>2</v>
      </c>
      <c r="I38" s="14"/>
      <c r="J38" s="14"/>
      <c r="K38" s="14"/>
      <c r="L38" s="14">
        <v>2</v>
      </c>
      <c r="M38" s="14">
        <v>2</v>
      </c>
      <c r="N38" s="14">
        <v>2</v>
      </c>
      <c r="O38" s="14">
        <v>2</v>
      </c>
      <c r="P38" s="14"/>
      <c r="Q38" s="14"/>
      <c r="R38" s="14"/>
      <c r="S38" s="14">
        <v>2</v>
      </c>
      <c r="T38" s="14">
        <v>2</v>
      </c>
      <c r="U38" s="14">
        <v>2</v>
      </c>
      <c r="V38" s="14">
        <v>2</v>
      </c>
      <c r="W38" s="14"/>
      <c r="X38" s="14"/>
      <c r="Y38" s="14"/>
      <c r="Z38" s="14">
        <v>2</v>
      </c>
      <c r="AA38" s="14">
        <v>2</v>
      </c>
      <c r="AB38" s="14">
        <v>2</v>
      </c>
      <c r="AC38" s="14">
        <v>2</v>
      </c>
      <c r="AD38" s="14"/>
      <c r="AE38" s="14"/>
      <c r="AF38" s="14"/>
      <c r="AG38" s="14"/>
      <c r="AH38" s="10">
        <f t="shared" si="1"/>
        <v>32</v>
      </c>
      <c r="AI38"/>
      <c r="AJ38" s="21"/>
    </row>
    <row r="39" spans="1:36" ht="20.25">
      <c r="A39" s="62"/>
      <c r="B39" s="66" t="str">
        <f>INDYWIDUAL!B39</f>
        <v>Dragoș Magheru</v>
      </c>
      <c r="C39" s="14"/>
      <c r="D39" s="14"/>
      <c r="E39" s="14">
        <v>1</v>
      </c>
      <c r="F39" s="14">
        <v>1</v>
      </c>
      <c r="G39" s="14">
        <v>1</v>
      </c>
      <c r="H39" s="14">
        <v>1</v>
      </c>
      <c r="I39" s="14"/>
      <c r="J39" s="14"/>
      <c r="K39" s="14"/>
      <c r="L39" s="14">
        <v>1</v>
      </c>
      <c r="M39" s="14">
        <v>1</v>
      </c>
      <c r="N39" s="14">
        <v>1</v>
      </c>
      <c r="O39" s="14">
        <v>1</v>
      </c>
      <c r="P39" s="14"/>
      <c r="Q39" s="14"/>
      <c r="R39" s="14"/>
      <c r="S39" s="14">
        <v>1</v>
      </c>
      <c r="T39" s="14">
        <v>1</v>
      </c>
      <c r="U39" s="14">
        <v>1</v>
      </c>
      <c r="V39" s="14">
        <v>1</v>
      </c>
      <c r="W39" s="14"/>
      <c r="X39" s="14"/>
      <c r="Y39" s="14"/>
      <c r="Z39" s="14">
        <v>1</v>
      </c>
      <c r="AA39" s="14">
        <v>1</v>
      </c>
      <c r="AB39" s="14">
        <v>1</v>
      </c>
      <c r="AC39" s="14">
        <v>1</v>
      </c>
      <c r="AD39" s="14"/>
      <c r="AE39" s="14"/>
      <c r="AF39" s="14"/>
      <c r="AG39" s="14"/>
      <c r="AH39" s="10">
        <f t="shared" si="1"/>
        <v>16</v>
      </c>
      <c r="AI39" s="11">
        <f>COUNTA(B37:B39)</f>
        <v>3</v>
      </c>
      <c r="AJ39"/>
    </row>
  </sheetData>
  <mergeCells count="1">
    <mergeCell ref="E1:M1"/>
  </mergeCells>
  <pageMargins left="0.23611111111111099" right="0.23611111111111099" top="0.25" bottom="0.15972222222222199" header="0.51180555555555496" footer="0.51180555555555496"/>
  <pageSetup paperSize="0" scale="0" firstPageNumber="0" orientation="portrait" usePrinterDefaults="0" horizontalDpi="0" verticalDpi="0" copie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AG17"/>
  <sheetViews>
    <sheetView workbookViewId="0">
      <selection activeCell="B3" sqref="B3:AF17"/>
    </sheetView>
  </sheetViews>
  <sheetFormatPr defaultRowHeight="14.25"/>
  <cols>
    <col min="1" max="1" width="8.25"/>
    <col min="2" max="3" width="3.625"/>
    <col min="4" max="7" width="4.5" bestFit="1" customWidth="1"/>
    <col min="8" max="10" width="3.625"/>
    <col min="11" max="14" width="4.5" bestFit="1" customWidth="1"/>
    <col min="15" max="17" width="3.625"/>
    <col min="18" max="21" width="4.5" bestFit="1" customWidth="1"/>
    <col min="22" max="24" width="3.625"/>
    <col min="25" max="28" width="4.5" bestFit="1" customWidth="1"/>
    <col min="29" max="32" width="3.625"/>
    <col min="33" max="33" width="10.375"/>
  </cols>
  <sheetData>
    <row r="1" spans="1:33" ht="21.95" customHeight="1">
      <c r="A1" s="1"/>
      <c r="B1" s="1"/>
      <c r="C1" s="1"/>
      <c r="D1" s="139" t="str">
        <f>T(INDYWIDUAL!B1)</f>
        <v>wrzesień</v>
      </c>
      <c r="E1" s="139"/>
      <c r="F1" s="139"/>
      <c r="G1" s="139"/>
      <c r="H1" s="139"/>
      <c r="I1" s="139"/>
      <c r="J1" s="139"/>
      <c r="K1" s="139"/>
      <c r="L1" s="139"/>
      <c r="M1" s="1"/>
      <c r="N1" s="1"/>
      <c r="O1" s="139" t="s">
        <v>8</v>
      </c>
      <c r="P1" s="139"/>
      <c r="Q1" s="139"/>
      <c r="R1" s="139"/>
      <c r="S1" s="139"/>
      <c r="T1" s="139"/>
      <c r="U1" s="139"/>
      <c r="V1" s="139"/>
      <c r="W1" s="139"/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 ht="15">
      <c r="A2" s="3" t="s">
        <v>1</v>
      </c>
      <c r="B2" s="5">
        <v>1</v>
      </c>
      <c r="C2" s="5">
        <v>2</v>
      </c>
      <c r="D2" s="5">
        <v>3</v>
      </c>
      <c r="E2" s="5">
        <v>4</v>
      </c>
      <c r="F2" s="5">
        <v>5</v>
      </c>
      <c r="G2" s="5">
        <v>6</v>
      </c>
      <c r="H2" s="5">
        <v>7</v>
      </c>
      <c r="I2" s="5">
        <v>8</v>
      </c>
      <c r="J2" s="5">
        <v>9</v>
      </c>
      <c r="K2" s="5">
        <v>10</v>
      </c>
      <c r="L2" s="5">
        <v>11</v>
      </c>
      <c r="M2" s="5">
        <v>12</v>
      </c>
      <c r="N2" s="5">
        <v>13</v>
      </c>
      <c r="O2" s="5">
        <v>14</v>
      </c>
      <c r="P2" s="5">
        <v>15</v>
      </c>
      <c r="Q2" s="5">
        <v>16</v>
      </c>
      <c r="R2" s="5">
        <v>17</v>
      </c>
      <c r="S2" s="5">
        <v>18</v>
      </c>
      <c r="T2" s="5">
        <v>19</v>
      </c>
      <c r="U2" s="5">
        <v>20</v>
      </c>
      <c r="V2" s="5">
        <v>21</v>
      </c>
      <c r="W2" s="5">
        <v>22</v>
      </c>
      <c r="X2" s="5">
        <v>23</v>
      </c>
      <c r="Y2" s="5">
        <v>24</v>
      </c>
      <c r="Z2" s="5">
        <v>25</v>
      </c>
      <c r="AA2" s="5">
        <v>26</v>
      </c>
      <c r="AB2" s="5">
        <v>27</v>
      </c>
      <c r="AC2" s="5">
        <v>28</v>
      </c>
      <c r="AD2" s="5">
        <v>29</v>
      </c>
      <c r="AE2" s="5">
        <v>30</v>
      </c>
      <c r="AF2" s="5">
        <v>31</v>
      </c>
      <c r="AG2" s="6" t="s">
        <v>3</v>
      </c>
    </row>
    <row r="3" spans="1:33" ht="20.25">
      <c r="A3" s="30">
        <v>312</v>
      </c>
      <c r="B3" s="89"/>
      <c r="C3" s="89"/>
      <c r="D3" s="89">
        <v>3</v>
      </c>
      <c r="E3" s="89">
        <v>3</v>
      </c>
      <c r="F3" s="89">
        <v>3</v>
      </c>
      <c r="G3" s="89">
        <v>3</v>
      </c>
      <c r="H3" s="89"/>
      <c r="I3" s="89"/>
      <c r="J3" s="89"/>
      <c r="K3" s="89">
        <v>3</v>
      </c>
      <c r="L3" s="89">
        <v>3</v>
      </c>
      <c r="M3" s="89">
        <v>3</v>
      </c>
      <c r="N3" s="89">
        <v>3</v>
      </c>
      <c r="O3" s="89"/>
      <c r="P3" s="89"/>
      <c r="Q3" s="89"/>
      <c r="R3" s="89">
        <v>3</v>
      </c>
      <c r="S3" s="89">
        <v>3</v>
      </c>
      <c r="T3" s="89">
        <v>3</v>
      </c>
      <c r="U3" s="89">
        <v>3</v>
      </c>
      <c r="V3" s="89"/>
      <c r="W3" s="89"/>
      <c r="X3" s="89"/>
      <c r="Y3" s="89">
        <v>3</v>
      </c>
      <c r="Z3" s="89">
        <v>2</v>
      </c>
      <c r="AA3" s="89">
        <v>2</v>
      </c>
      <c r="AB3" s="89">
        <v>3</v>
      </c>
      <c r="AC3" s="89"/>
      <c r="AD3" s="89"/>
      <c r="AE3" s="98"/>
      <c r="AF3" s="99"/>
      <c r="AG3" s="87">
        <f>SUM(C3:AF3)</f>
        <v>46</v>
      </c>
    </row>
    <row r="4" spans="1:33" ht="18">
      <c r="A4" s="38">
        <v>313</v>
      </c>
      <c r="B4" s="90"/>
      <c r="C4" s="90"/>
      <c r="D4" s="90">
        <v>3</v>
      </c>
      <c r="E4" s="90">
        <v>3</v>
      </c>
      <c r="F4" s="90">
        <v>3</v>
      </c>
      <c r="G4" s="90">
        <v>3</v>
      </c>
      <c r="H4" s="90"/>
      <c r="I4" s="90"/>
      <c r="J4" s="90"/>
      <c r="K4" s="90">
        <v>3</v>
      </c>
      <c r="L4" s="90">
        <v>3</v>
      </c>
      <c r="M4" s="90">
        <v>3</v>
      </c>
      <c r="N4" s="90">
        <v>3</v>
      </c>
      <c r="O4" s="90"/>
      <c r="P4" s="90"/>
      <c r="Q4" s="90"/>
      <c r="R4" s="90">
        <v>3</v>
      </c>
      <c r="S4" s="90">
        <v>3</v>
      </c>
      <c r="T4" s="90">
        <v>3</v>
      </c>
      <c r="U4" s="90">
        <v>3</v>
      </c>
      <c r="V4" s="90"/>
      <c r="W4" s="90"/>
      <c r="X4" s="90"/>
      <c r="Y4" s="90">
        <v>3</v>
      </c>
      <c r="Z4" s="90">
        <v>3</v>
      </c>
      <c r="AA4" s="90">
        <v>3</v>
      </c>
      <c r="AB4" s="90">
        <v>3</v>
      </c>
      <c r="AC4" s="90"/>
      <c r="AD4" s="90"/>
      <c r="AE4" s="90"/>
      <c r="AF4" s="90"/>
      <c r="AG4" s="38">
        <f t="shared" ref="AG4:AG17" si="0">SUM(B4:AF4)</f>
        <v>48</v>
      </c>
    </row>
    <row r="5" spans="1:33" ht="20.25">
      <c r="A5" s="41">
        <v>319</v>
      </c>
      <c r="B5" s="100"/>
      <c r="C5" s="91"/>
      <c r="D5" s="91">
        <v>3</v>
      </c>
      <c r="E5" s="91">
        <v>3</v>
      </c>
      <c r="F5" s="91">
        <v>3</v>
      </c>
      <c r="G5" s="91">
        <v>3</v>
      </c>
      <c r="H5" s="91"/>
      <c r="I5" s="91"/>
      <c r="J5" s="91"/>
      <c r="K5" s="91">
        <v>3</v>
      </c>
      <c r="L5" s="91">
        <v>3</v>
      </c>
      <c r="M5" s="91">
        <v>3</v>
      </c>
      <c r="N5" s="91">
        <v>2</v>
      </c>
      <c r="O5" s="91"/>
      <c r="P5" s="91"/>
      <c r="Q5" s="91"/>
      <c r="R5" s="91">
        <v>2</v>
      </c>
      <c r="S5" s="91">
        <v>2</v>
      </c>
      <c r="T5" s="91">
        <v>2</v>
      </c>
      <c r="U5" s="91">
        <v>2</v>
      </c>
      <c r="V5" s="91"/>
      <c r="W5" s="91"/>
      <c r="X5" s="91"/>
      <c r="Y5" s="91">
        <v>3</v>
      </c>
      <c r="Z5" s="91">
        <v>3</v>
      </c>
      <c r="AA5" s="91">
        <v>3</v>
      </c>
      <c r="AB5" s="91">
        <v>2</v>
      </c>
      <c r="AC5" s="91"/>
      <c r="AD5" s="91"/>
      <c r="AE5" s="91"/>
      <c r="AF5" s="101"/>
      <c r="AG5" s="41">
        <f t="shared" si="0"/>
        <v>42</v>
      </c>
    </row>
    <row r="6" spans="1:33" ht="20.25">
      <c r="A6" s="28">
        <v>320</v>
      </c>
      <c r="B6" s="92"/>
      <c r="C6" s="92"/>
      <c r="D6" s="92">
        <v>3</v>
      </c>
      <c r="E6" s="92">
        <v>3</v>
      </c>
      <c r="F6" s="92">
        <v>3</v>
      </c>
      <c r="G6" s="92">
        <v>3</v>
      </c>
      <c r="H6" s="92"/>
      <c r="I6" s="92"/>
      <c r="J6" s="92"/>
      <c r="K6" s="92">
        <v>2</v>
      </c>
      <c r="L6" s="92">
        <v>2</v>
      </c>
      <c r="M6" s="92">
        <v>2</v>
      </c>
      <c r="N6" s="92">
        <v>3</v>
      </c>
      <c r="O6" s="92"/>
      <c r="P6" s="92"/>
      <c r="Q6" s="92"/>
      <c r="R6" s="92">
        <v>3</v>
      </c>
      <c r="S6" s="92">
        <v>2</v>
      </c>
      <c r="T6" s="92">
        <v>3</v>
      </c>
      <c r="U6" s="92">
        <v>3</v>
      </c>
      <c r="V6" s="92"/>
      <c r="W6" s="92"/>
      <c r="X6" s="92"/>
      <c r="Y6" s="92">
        <v>3</v>
      </c>
      <c r="Z6" s="92">
        <v>3</v>
      </c>
      <c r="AA6" s="92">
        <v>3</v>
      </c>
      <c r="AB6" s="92">
        <v>3</v>
      </c>
      <c r="AC6" s="92"/>
      <c r="AD6" s="92"/>
      <c r="AE6" s="102"/>
      <c r="AF6" s="103"/>
      <c r="AG6" s="33">
        <f t="shared" si="0"/>
        <v>44</v>
      </c>
    </row>
    <row r="7" spans="1:33" ht="20.25">
      <c r="A7" s="29">
        <v>321</v>
      </c>
      <c r="B7" s="93"/>
      <c r="C7" s="93"/>
      <c r="D7" s="93">
        <v>3</v>
      </c>
      <c r="E7" s="93">
        <v>3</v>
      </c>
      <c r="F7" s="93">
        <v>3</v>
      </c>
      <c r="G7" s="93">
        <v>3</v>
      </c>
      <c r="H7" s="93"/>
      <c r="I7" s="93"/>
      <c r="J7" s="93"/>
      <c r="K7" s="93">
        <v>3</v>
      </c>
      <c r="L7" s="93">
        <v>3</v>
      </c>
      <c r="M7" s="93">
        <v>3</v>
      </c>
      <c r="N7" s="93">
        <v>3</v>
      </c>
      <c r="O7" s="93"/>
      <c r="P7" s="93"/>
      <c r="Q7" s="93"/>
      <c r="R7" s="93">
        <v>3</v>
      </c>
      <c r="S7" s="93">
        <v>2</v>
      </c>
      <c r="T7" s="93">
        <v>3</v>
      </c>
      <c r="U7" s="93">
        <v>3</v>
      </c>
      <c r="V7" s="93"/>
      <c r="W7" s="93"/>
      <c r="X7" s="93"/>
      <c r="Y7" s="93">
        <v>3</v>
      </c>
      <c r="Z7" s="93">
        <v>3</v>
      </c>
      <c r="AA7" s="93">
        <v>3</v>
      </c>
      <c r="AB7" s="93">
        <v>3</v>
      </c>
      <c r="AC7" s="93"/>
      <c r="AD7" s="93"/>
      <c r="AE7" s="97"/>
      <c r="AF7" s="104"/>
      <c r="AG7" s="35">
        <f t="shared" si="0"/>
        <v>47</v>
      </c>
    </row>
    <row r="8" spans="1:33" ht="20.25">
      <c r="A8" s="30">
        <v>322</v>
      </c>
      <c r="B8" s="89"/>
      <c r="C8" s="89"/>
      <c r="D8" s="89">
        <v>3</v>
      </c>
      <c r="E8" s="89">
        <v>3</v>
      </c>
      <c r="F8" s="89">
        <v>3</v>
      </c>
      <c r="G8" s="89">
        <v>3</v>
      </c>
      <c r="H8" s="89"/>
      <c r="I8" s="89"/>
      <c r="J8" s="89"/>
      <c r="K8" s="89">
        <v>3</v>
      </c>
      <c r="L8" s="89">
        <v>3</v>
      </c>
      <c r="M8" s="89">
        <v>3</v>
      </c>
      <c r="N8" s="89">
        <v>3</v>
      </c>
      <c r="O8" s="89"/>
      <c r="P8" s="89"/>
      <c r="Q8" s="89"/>
      <c r="R8" s="89">
        <v>3</v>
      </c>
      <c r="S8" s="89">
        <v>3</v>
      </c>
      <c r="T8" s="89">
        <v>3</v>
      </c>
      <c r="U8" s="89">
        <v>3</v>
      </c>
      <c r="V8" s="89"/>
      <c r="W8" s="89"/>
      <c r="X8" s="89"/>
      <c r="Y8" s="89">
        <v>3</v>
      </c>
      <c r="Z8" s="89">
        <v>3</v>
      </c>
      <c r="AA8" s="89">
        <v>3</v>
      </c>
      <c r="AB8" s="89">
        <v>3</v>
      </c>
      <c r="AC8" s="89"/>
      <c r="AD8" s="89"/>
      <c r="AE8" s="98"/>
      <c r="AF8" s="99"/>
      <c r="AG8" s="37">
        <f t="shared" si="0"/>
        <v>48</v>
      </c>
    </row>
    <row r="9" spans="1:33" ht="20.25">
      <c r="A9" s="38">
        <v>323</v>
      </c>
      <c r="B9" s="95"/>
      <c r="C9" s="95"/>
      <c r="D9" s="94">
        <v>3</v>
      </c>
      <c r="E9" s="95">
        <v>3</v>
      </c>
      <c r="F9" s="94">
        <v>3</v>
      </c>
      <c r="G9" s="95">
        <v>3</v>
      </c>
      <c r="H9" s="95"/>
      <c r="I9" s="95"/>
      <c r="J9" s="95"/>
      <c r="K9" s="94">
        <v>3</v>
      </c>
      <c r="L9" s="95">
        <v>3</v>
      </c>
      <c r="M9" s="94">
        <v>3</v>
      </c>
      <c r="N9" s="95">
        <v>3</v>
      </c>
      <c r="O9" s="95"/>
      <c r="P9" s="95"/>
      <c r="Q9" s="95"/>
      <c r="R9" s="94">
        <v>3</v>
      </c>
      <c r="S9" s="95">
        <v>3</v>
      </c>
      <c r="T9" s="94">
        <v>3</v>
      </c>
      <c r="U9" s="95">
        <v>3</v>
      </c>
      <c r="V9" s="95"/>
      <c r="W9" s="95"/>
      <c r="X9" s="95"/>
      <c r="Y9" s="94">
        <v>3</v>
      </c>
      <c r="Z9" s="95">
        <v>3</v>
      </c>
      <c r="AA9" s="94">
        <v>3</v>
      </c>
      <c r="AB9" s="95">
        <v>3</v>
      </c>
      <c r="AC9" s="95"/>
      <c r="AD9" s="95"/>
      <c r="AE9" s="105"/>
      <c r="AF9" s="90"/>
      <c r="AG9" s="40">
        <f t="shared" si="0"/>
        <v>48</v>
      </c>
    </row>
    <row r="10" spans="1:33" ht="20.25">
      <c r="A10" s="41">
        <v>326</v>
      </c>
      <c r="B10" s="91"/>
      <c r="C10" s="91"/>
      <c r="D10" s="91">
        <v>3</v>
      </c>
      <c r="E10" s="91">
        <v>3</v>
      </c>
      <c r="F10" s="91">
        <v>3</v>
      </c>
      <c r="G10" s="91">
        <v>3</v>
      </c>
      <c r="H10" s="91"/>
      <c r="I10" s="91"/>
      <c r="J10" s="91"/>
      <c r="K10" s="91">
        <v>3</v>
      </c>
      <c r="L10" s="91">
        <v>3</v>
      </c>
      <c r="M10" s="91">
        <v>3</v>
      </c>
      <c r="N10" s="91">
        <v>3</v>
      </c>
      <c r="O10" s="91"/>
      <c r="P10" s="91"/>
      <c r="Q10" s="91"/>
      <c r="R10" s="91">
        <v>3</v>
      </c>
      <c r="S10" s="91">
        <v>3</v>
      </c>
      <c r="T10" s="91">
        <v>3</v>
      </c>
      <c r="U10" s="91">
        <v>3</v>
      </c>
      <c r="V10" s="91"/>
      <c r="W10" s="91"/>
      <c r="X10" s="91"/>
      <c r="Y10" s="91">
        <v>3</v>
      </c>
      <c r="Z10" s="91">
        <v>3</v>
      </c>
      <c r="AA10" s="91">
        <v>3</v>
      </c>
      <c r="AB10" s="91">
        <v>3</v>
      </c>
      <c r="AC10" s="91"/>
      <c r="AD10" s="91"/>
      <c r="AE10" s="101"/>
      <c r="AF10" s="100"/>
      <c r="AG10" s="43">
        <f t="shared" si="0"/>
        <v>48</v>
      </c>
    </row>
    <row r="11" spans="1:33" ht="20.25">
      <c r="A11" s="28">
        <v>328</v>
      </c>
      <c r="B11" s="92"/>
      <c r="C11" s="92"/>
      <c r="D11" s="92">
        <v>3</v>
      </c>
      <c r="E11" s="92">
        <v>3</v>
      </c>
      <c r="F11" s="92">
        <v>3</v>
      </c>
      <c r="G11" s="92">
        <v>3</v>
      </c>
      <c r="H11" s="92"/>
      <c r="I11" s="92"/>
      <c r="J11" s="92"/>
      <c r="K11" s="92">
        <v>3</v>
      </c>
      <c r="L11" s="92">
        <v>3</v>
      </c>
      <c r="M11" s="92">
        <v>3</v>
      </c>
      <c r="N11" s="92">
        <v>3</v>
      </c>
      <c r="O11" s="92"/>
      <c r="P11" s="92"/>
      <c r="Q11" s="92"/>
      <c r="R11" s="92">
        <v>3</v>
      </c>
      <c r="S11" s="92">
        <v>3</v>
      </c>
      <c r="T11" s="92">
        <v>3</v>
      </c>
      <c r="U11" s="92">
        <v>3</v>
      </c>
      <c r="V11" s="92"/>
      <c r="W11" s="92"/>
      <c r="X11" s="92"/>
      <c r="Y11" s="92">
        <v>3</v>
      </c>
      <c r="Z11" s="92">
        <v>3</v>
      </c>
      <c r="AA11" s="92">
        <v>3</v>
      </c>
      <c r="AB11" s="92">
        <v>3</v>
      </c>
      <c r="AC11" s="92"/>
      <c r="AD11" s="92"/>
      <c r="AE11" s="102"/>
      <c r="AF11" s="103"/>
      <c r="AG11" s="44">
        <f t="shared" si="0"/>
        <v>48</v>
      </c>
    </row>
    <row r="12" spans="1:33" ht="20.25">
      <c r="A12" s="29">
        <v>329</v>
      </c>
      <c r="B12" s="93"/>
      <c r="C12" s="93"/>
      <c r="D12" s="93">
        <v>3</v>
      </c>
      <c r="E12" s="93">
        <v>3</v>
      </c>
      <c r="F12" s="93">
        <v>3</v>
      </c>
      <c r="G12" s="93">
        <v>3</v>
      </c>
      <c r="H12" s="93"/>
      <c r="I12" s="93"/>
      <c r="J12" s="93"/>
      <c r="K12" s="93">
        <v>3</v>
      </c>
      <c r="L12" s="93">
        <v>3</v>
      </c>
      <c r="M12" s="93">
        <v>3</v>
      </c>
      <c r="N12" s="93">
        <v>3</v>
      </c>
      <c r="O12" s="93"/>
      <c r="P12" s="93"/>
      <c r="Q12" s="93"/>
      <c r="R12" s="93">
        <v>3</v>
      </c>
      <c r="S12" s="93">
        <v>3</v>
      </c>
      <c r="T12" s="93">
        <v>3</v>
      </c>
      <c r="U12" s="93">
        <v>3</v>
      </c>
      <c r="V12" s="93"/>
      <c r="W12" s="93"/>
      <c r="X12" s="93"/>
      <c r="Y12" s="93">
        <v>3</v>
      </c>
      <c r="Z12" s="93">
        <v>3</v>
      </c>
      <c r="AA12" s="93">
        <v>3</v>
      </c>
      <c r="AB12" s="93">
        <v>3</v>
      </c>
      <c r="AC12" s="93"/>
      <c r="AD12" s="93"/>
      <c r="AE12" s="97"/>
      <c r="AF12" s="106"/>
      <c r="AG12" s="35">
        <f t="shared" si="0"/>
        <v>48</v>
      </c>
    </row>
    <row r="13" spans="1:33" ht="20.25">
      <c r="A13" s="30">
        <v>330</v>
      </c>
      <c r="B13" s="89"/>
      <c r="C13" s="89"/>
      <c r="D13" s="89">
        <v>3</v>
      </c>
      <c r="E13" s="89">
        <v>3</v>
      </c>
      <c r="F13" s="89">
        <v>3</v>
      </c>
      <c r="G13" s="89">
        <v>3</v>
      </c>
      <c r="H13" s="89"/>
      <c r="I13" s="89"/>
      <c r="J13" s="89"/>
      <c r="K13" s="89">
        <v>3</v>
      </c>
      <c r="L13" s="89">
        <v>3</v>
      </c>
      <c r="M13" s="89">
        <v>3</v>
      </c>
      <c r="N13" s="89">
        <v>3</v>
      </c>
      <c r="O13" s="89"/>
      <c r="P13" s="89"/>
      <c r="Q13" s="89"/>
      <c r="R13" s="89">
        <v>3</v>
      </c>
      <c r="S13" s="89">
        <v>3</v>
      </c>
      <c r="T13" s="89">
        <v>3</v>
      </c>
      <c r="U13" s="89">
        <v>3</v>
      </c>
      <c r="V13" s="89"/>
      <c r="W13" s="89"/>
      <c r="X13" s="89"/>
      <c r="Y13" s="89">
        <v>3</v>
      </c>
      <c r="Z13" s="89">
        <v>3</v>
      </c>
      <c r="AA13" s="89">
        <v>3</v>
      </c>
      <c r="AB13" s="89">
        <v>3</v>
      </c>
      <c r="AC13" s="89"/>
      <c r="AD13" s="89"/>
      <c r="AE13" s="98"/>
      <c r="AF13" s="99"/>
      <c r="AG13" s="37">
        <f t="shared" si="0"/>
        <v>48</v>
      </c>
    </row>
    <row r="14" spans="1:33" ht="20.25">
      <c r="A14" s="38">
        <v>331</v>
      </c>
      <c r="B14" s="95"/>
      <c r="C14" s="95"/>
      <c r="D14" s="95">
        <v>3</v>
      </c>
      <c r="E14" s="95">
        <v>3</v>
      </c>
      <c r="F14" s="95">
        <v>3</v>
      </c>
      <c r="G14" s="95">
        <v>3</v>
      </c>
      <c r="H14" s="95"/>
      <c r="I14" s="95"/>
      <c r="J14" s="95"/>
      <c r="K14" s="95">
        <v>3</v>
      </c>
      <c r="L14" s="95">
        <v>3</v>
      </c>
      <c r="M14" s="95">
        <v>3</v>
      </c>
      <c r="N14" s="95">
        <v>3</v>
      </c>
      <c r="O14" s="95"/>
      <c r="P14" s="95"/>
      <c r="Q14" s="95"/>
      <c r="R14" s="95">
        <v>3</v>
      </c>
      <c r="S14" s="95">
        <v>3</v>
      </c>
      <c r="T14" s="95">
        <v>3</v>
      </c>
      <c r="U14" s="95">
        <v>3</v>
      </c>
      <c r="V14" s="95"/>
      <c r="W14" s="95"/>
      <c r="X14" s="95"/>
      <c r="Y14" s="95">
        <v>3</v>
      </c>
      <c r="Z14" s="95">
        <v>3</v>
      </c>
      <c r="AA14" s="95">
        <v>3</v>
      </c>
      <c r="AB14" s="95">
        <v>3</v>
      </c>
      <c r="AC14" s="95"/>
      <c r="AD14" s="95"/>
      <c r="AE14" s="105"/>
      <c r="AF14" s="90"/>
      <c r="AG14" s="40">
        <f t="shared" si="0"/>
        <v>48</v>
      </c>
    </row>
    <row r="15" spans="1:33" ht="20.25">
      <c r="A15" s="41">
        <v>332</v>
      </c>
      <c r="B15" s="91"/>
      <c r="C15" s="91"/>
      <c r="D15" s="91">
        <v>3</v>
      </c>
      <c r="E15" s="91">
        <v>3</v>
      </c>
      <c r="F15" s="91">
        <v>3</v>
      </c>
      <c r="G15" s="91">
        <v>3</v>
      </c>
      <c r="H15" s="91"/>
      <c r="I15" s="91"/>
      <c r="J15" s="91"/>
      <c r="K15" s="91">
        <v>3</v>
      </c>
      <c r="L15" s="91">
        <v>3</v>
      </c>
      <c r="M15" s="91">
        <v>3</v>
      </c>
      <c r="N15" s="91">
        <v>3</v>
      </c>
      <c r="O15" s="91"/>
      <c r="P15" s="91"/>
      <c r="Q15" s="91"/>
      <c r="R15" s="91">
        <v>3</v>
      </c>
      <c r="S15" s="91">
        <v>3</v>
      </c>
      <c r="T15" s="91">
        <v>3</v>
      </c>
      <c r="U15" s="91">
        <v>3</v>
      </c>
      <c r="V15" s="91"/>
      <c r="W15" s="91"/>
      <c r="X15" s="91"/>
      <c r="Y15" s="91">
        <v>3</v>
      </c>
      <c r="Z15" s="91">
        <v>3</v>
      </c>
      <c r="AA15" s="91">
        <v>3</v>
      </c>
      <c r="AB15" s="91">
        <v>3</v>
      </c>
      <c r="AC15" s="91"/>
      <c r="AD15" s="91"/>
      <c r="AE15" s="101"/>
      <c r="AF15" s="100"/>
      <c r="AG15" s="43">
        <f t="shared" si="0"/>
        <v>48</v>
      </c>
    </row>
    <row r="16" spans="1:33" ht="20.25">
      <c r="A16" s="28">
        <v>333</v>
      </c>
      <c r="B16" s="96"/>
      <c r="C16" s="96"/>
      <c r="D16" s="96">
        <v>3</v>
      </c>
      <c r="E16" s="96">
        <v>3</v>
      </c>
      <c r="F16" s="96">
        <v>3</v>
      </c>
      <c r="G16" s="96">
        <v>3</v>
      </c>
      <c r="H16" s="96"/>
      <c r="I16" s="96"/>
      <c r="J16" s="96"/>
      <c r="K16" s="96">
        <v>3</v>
      </c>
      <c r="L16" s="96">
        <v>3</v>
      </c>
      <c r="M16" s="96">
        <v>3</v>
      </c>
      <c r="N16" s="96">
        <v>3</v>
      </c>
      <c r="O16" s="96"/>
      <c r="P16" s="96"/>
      <c r="Q16" s="96"/>
      <c r="R16" s="96">
        <v>3</v>
      </c>
      <c r="S16" s="96">
        <v>3</v>
      </c>
      <c r="T16" s="96">
        <v>3</v>
      </c>
      <c r="U16" s="96">
        <v>3</v>
      </c>
      <c r="V16" s="96"/>
      <c r="W16" s="96"/>
      <c r="X16" s="96"/>
      <c r="Y16" s="96">
        <v>3</v>
      </c>
      <c r="Z16" s="96">
        <v>3</v>
      </c>
      <c r="AA16" s="96">
        <v>3</v>
      </c>
      <c r="AB16" s="96">
        <v>3</v>
      </c>
      <c r="AC16" s="96"/>
      <c r="AD16" s="96"/>
      <c r="AE16" s="107"/>
      <c r="AF16" s="103"/>
      <c r="AG16" s="46">
        <f t="shared" si="0"/>
        <v>48</v>
      </c>
    </row>
    <row r="17" spans="1:33" ht="20.25">
      <c r="A17" s="31">
        <v>334</v>
      </c>
      <c r="B17" s="93"/>
      <c r="C17" s="93"/>
      <c r="D17" s="93">
        <v>3</v>
      </c>
      <c r="E17" s="93">
        <v>2</v>
      </c>
      <c r="F17" s="93">
        <v>2</v>
      </c>
      <c r="G17" s="93">
        <v>3</v>
      </c>
      <c r="H17" s="93"/>
      <c r="I17" s="93"/>
      <c r="J17" s="97"/>
      <c r="K17" s="93">
        <v>3</v>
      </c>
      <c r="L17" s="93">
        <v>2</v>
      </c>
      <c r="M17" s="93">
        <v>2</v>
      </c>
      <c r="N17" s="93">
        <v>3</v>
      </c>
      <c r="O17" s="93"/>
      <c r="P17" s="93"/>
      <c r="Q17" s="97"/>
      <c r="R17" s="93">
        <v>3</v>
      </c>
      <c r="S17" s="93">
        <v>3</v>
      </c>
      <c r="T17" s="93">
        <v>1</v>
      </c>
      <c r="U17" s="93">
        <v>1</v>
      </c>
      <c r="V17" s="97"/>
      <c r="W17" s="93"/>
      <c r="X17" s="97"/>
      <c r="Y17" s="93">
        <v>1</v>
      </c>
      <c r="Z17" s="93">
        <v>1</v>
      </c>
      <c r="AA17" s="93">
        <v>1</v>
      </c>
      <c r="AB17" s="93">
        <v>3</v>
      </c>
      <c r="AC17" s="97"/>
      <c r="AD17" s="93"/>
      <c r="AE17" s="97"/>
      <c r="AF17" s="108"/>
      <c r="AG17" s="35">
        <f t="shared" si="0"/>
        <v>34</v>
      </c>
    </row>
  </sheetData>
  <mergeCells count="2">
    <mergeCell ref="D1:L1"/>
    <mergeCell ref="O1:W1"/>
  </mergeCells>
  <pageMargins left="0.25" right="0.25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AG17"/>
  <sheetViews>
    <sheetView workbookViewId="0">
      <selection activeCell="B3" sqref="B3:AF17"/>
    </sheetView>
  </sheetViews>
  <sheetFormatPr defaultRowHeight="14.25"/>
  <cols>
    <col min="1" max="1" width="8.25"/>
    <col min="2" max="3" width="3.625"/>
    <col min="4" max="7" width="4.5" bestFit="1" customWidth="1"/>
    <col min="8" max="10" width="3.625"/>
    <col min="11" max="14" width="4.5" bestFit="1" customWidth="1"/>
    <col min="15" max="17" width="3.625"/>
    <col min="18" max="21" width="4.5" bestFit="1" customWidth="1"/>
    <col min="22" max="24" width="3.625"/>
    <col min="25" max="28" width="4.5" bestFit="1" customWidth="1"/>
    <col min="29" max="32" width="3.625"/>
    <col min="33" max="33" width="10.375"/>
  </cols>
  <sheetData>
    <row r="1" spans="1:33" ht="21.95" customHeight="1">
      <c r="A1" s="1"/>
      <c r="B1" s="1"/>
      <c r="C1" s="1"/>
      <c r="D1" s="139" t="str">
        <f>T(INDYWIDUAL!B1)</f>
        <v>wrzesień</v>
      </c>
      <c r="E1" s="139"/>
      <c r="F1" s="139"/>
      <c r="G1" s="139"/>
      <c r="H1" s="139"/>
      <c r="I1" s="139"/>
      <c r="J1" s="139"/>
      <c r="K1" s="139"/>
      <c r="L1" s="139"/>
      <c r="M1" s="1"/>
      <c r="N1" s="1"/>
      <c r="O1" s="139" t="s">
        <v>9</v>
      </c>
      <c r="P1" s="139"/>
      <c r="Q1" s="139"/>
      <c r="R1" s="139"/>
      <c r="S1" s="139"/>
      <c r="T1" s="139"/>
      <c r="U1" s="139"/>
      <c r="V1" s="139"/>
      <c r="W1" s="139"/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 ht="15">
      <c r="A2" s="3" t="s">
        <v>1</v>
      </c>
      <c r="B2" s="5">
        <v>1</v>
      </c>
      <c r="C2" s="5">
        <v>2</v>
      </c>
      <c r="D2" s="5">
        <v>3</v>
      </c>
      <c r="E2" s="5">
        <v>4</v>
      </c>
      <c r="F2" s="5">
        <v>5</v>
      </c>
      <c r="G2" s="5">
        <v>6</v>
      </c>
      <c r="H2" s="5">
        <v>7</v>
      </c>
      <c r="I2" s="5">
        <v>8</v>
      </c>
      <c r="J2" s="5">
        <v>9</v>
      </c>
      <c r="K2" s="5">
        <v>10</v>
      </c>
      <c r="L2" s="5">
        <v>11</v>
      </c>
      <c r="M2" s="5">
        <v>12</v>
      </c>
      <c r="N2" s="5">
        <v>13</v>
      </c>
      <c r="O2" s="5">
        <v>14</v>
      </c>
      <c r="P2" s="5">
        <v>15</v>
      </c>
      <c r="Q2" s="5">
        <v>16</v>
      </c>
      <c r="R2" s="5">
        <v>17</v>
      </c>
      <c r="S2" s="5">
        <v>18</v>
      </c>
      <c r="T2" s="5">
        <v>19</v>
      </c>
      <c r="U2" s="5">
        <v>20</v>
      </c>
      <c r="V2" s="5">
        <v>21</v>
      </c>
      <c r="W2" s="5">
        <v>22</v>
      </c>
      <c r="X2" s="5">
        <v>23</v>
      </c>
      <c r="Y2" s="5">
        <v>24</v>
      </c>
      <c r="Z2" s="5">
        <v>25</v>
      </c>
      <c r="AA2" s="5">
        <v>26</v>
      </c>
      <c r="AB2" s="5">
        <v>27</v>
      </c>
      <c r="AC2" s="5">
        <v>28</v>
      </c>
      <c r="AD2" s="5">
        <v>29</v>
      </c>
      <c r="AE2" s="5">
        <v>30</v>
      </c>
      <c r="AF2" s="5">
        <v>31</v>
      </c>
      <c r="AG2" s="6" t="s">
        <v>3</v>
      </c>
    </row>
    <row r="3" spans="1:33" ht="20.25">
      <c r="A3" s="30">
        <v>312</v>
      </c>
      <c r="B3" s="89"/>
      <c r="C3" s="89"/>
      <c r="D3" s="89">
        <v>3</v>
      </c>
      <c r="E3" s="89">
        <v>3</v>
      </c>
      <c r="F3" s="89">
        <v>3</v>
      </c>
      <c r="G3" s="89">
        <v>3</v>
      </c>
      <c r="H3" s="89"/>
      <c r="I3" s="89"/>
      <c r="J3" s="89"/>
      <c r="K3" s="89">
        <v>3</v>
      </c>
      <c r="L3" s="89">
        <v>3</v>
      </c>
      <c r="M3" s="89">
        <v>3</v>
      </c>
      <c r="N3" s="89">
        <v>3</v>
      </c>
      <c r="O3" s="89"/>
      <c r="P3" s="89"/>
      <c r="Q3" s="89"/>
      <c r="R3" s="89">
        <v>3</v>
      </c>
      <c r="S3" s="89">
        <v>3</v>
      </c>
      <c r="T3" s="89">
        <v>3</v>
      </c>
      <c r="U3" s="89">
        <v>3</v>
      </c>
      <c r="V3" s="89"/>
      <c r="W3" s="89"/>
      <c r="X3" s="89"/>
      <c r="Y3" s="89">
        <v>3</v>
      </c>
      <c r="Z3" s="89">
        <v>3</v>
      </c>
      <c r="AA3" s="89">
        <v>3</v>
      </c>
      <c r="AB3" s="89">
        <v>3</v>
      </c>
      <c r="AC3" s="89"/>
      <c r="AD3" s="89"/>
      <c r="AE3" s="98"/>
      <c r="AF3" s="99"/>
      <c r="AG3" s="37">
        <f t="shared" ref="AG3:AG17" si="0">SUM(B3:AF3)</f>
        <v>48</v>
      </c>
    </row>
    <row r="4" spans="1:33" ht="18">
      <c r="A4" s="38">
        <v>313</v>
      </c>
      <c r="B4" s="90"/>
      <c r="C4" s="90"/>
      <c r="D4" s="90">
        <v>3</v>
      </c>
      <c r="E4" s="90">
        <v>3</v>
      </c>
      <c r="F4" s="90">
        <v>3</v>
      </c>
      <c r="G4" s="90">
        <v>3</v>
      </c>
      <c r="H4" s="90"/>
      <c r="I4" s="90"/>
      <c r="J4" s="90"/>
      <c r="K4" s="90">
        <v>3</v>
      </c>
      <c r="L4" s="90">
        <v>2</v>
      </c>
      <c r="M4" s="90">
        <v>2</v>
      </c>
      <c r="N4" s="90">
        <v>3</v>
      </c>
      <c r="O4" s="90"/>
      <c r="P4" s="90"/>
      <c r="Q4" s="90"/>
      <c r="R4" s="90">
        <v>3</v>
      </c>
      <c r="S4" s="90">
        <v>3</v>
      </c>
      <c r="T4" s="90">
        <v>3</v>
      </c>
      <c r="U4" s="90">
        <v>3</v>
      </c>
      <c r="V4" s="90"/>
      <c r="W4" s="90"/>
      <c r="X4" s="90"/>
      <c r="Y4" s="90">
        <v>3</v>
      </c>
      <c r="Z4" s="90">
        <v>3</v>
      </c>
      <c r="AA4" s="90">
        <v>3</v>
      </c>
      <c r="AB4" s="90">
        <v>3</v>
      </c>
      <c r="AC4" s="90"/>
      <c r="AD4" s="90"/>
      <c r="AE4" s="90"/>
      <c r="AF4" s="90"/>
      <c r="AG4" s="38">
        <f t="shared" si="0"/>
        <v>46</v>
      </c>
    </row>
    <row r="5" spans="1:33" ht="20.25">
      <c r="A5" s="41">
        <v>319</v>
      </c>
      <c r="B5" s="100"/>
      <c r="C5" s="91"/>
      <c r="D5" s="91">
        <v>3</v>
      </c>
      <c r="E5" s="91">
        <v>3</v>
      </c>
      <c r="F5" s="91">
        <v>3</v>
      </c>
      <c r="G5" s="91">
        <v>3</v>
      </c>
      <c r="H5" s="91"/>
      <c r="I5" s="91"/>
      <c r="J5" s="91"/>
      <c r="K5" s="91">
        <v>2</v>
      </c>
      <c r="L5" s="91">
        <v>2</v>
      </c>
      <c r="M5" s="91">
        <v>2</v>
      </c>
      <c r="N5" s="91">
        <v>2</v>
      </c>
      <c r="O5" s="91"/>
      <c r="P5" s="91"/>
      <c r="Q5" s="91"/>
      <c r="R5" s="91">
        <v>2</v>
      </c>
      <c r="S5" s="91">
        <v>2</v>
      </c>
      <c r="T5" s="91">
        <v>1</v>
      </c>
      <c r="U5" s="91">
        <v>2</v>
      </c>
      <c r="V5" s="91"/>
      <c r="W5" s="91"/>
      <c r="X5" s="91"/>
      <c r="Y5" s="91">
        <v>2</v>
      </c>
      <c r="Z5" s="91">
        <v>2</v>
      </c>
      <c r="AA5" s="91">
        <v>2</v>
      </c>
      <c r="AB5" s="91">
        <v>1</v>
      </c>
      <c r="AC5" s="91"/>
      <c r="AD5" s="91"/>
      <c r="AE5" s="91"/>
      <c r="AF5" s="101"/>
      <c r="AG5" s="41">
        <f t="shared" si="0"/>
        <v>34</v>
      </c>
    </row>
    <row r="6" spans="1:33" ht="20.25">
      <c r="A6" s="28">
        <v>320</v>
      </c>
      <c r="B6" s="92"/>
      <c r="C6" s="92"/>
      <c r="D6" s="92">
        <v>3</v>
      </c>
      <c r="E6" s="92">
        <v>3</v>
      </c>
      <c r="F6" s="92">
        <v>3</v>
      </c>
      <c r="G6" s="92">
        <v>3</v>
      </c>
      <c r="H6" s="92"/>
      <c r="I6" s="92"/>
      <c r="J6" s="92"/>
      <c r="K6" s="92">
        <v>3</v>
      </c>
      <c r="L6" s="92">
        <v>3</v>
      </c>
      <c r="M6" s="92">
        <v>3</v>
      </c>
      <c r="N6" s="92">
        <v>3</v>
      </c>
      <c r="O6" s="92"/>
      <c r="P6" s="92"/>
      <c r="Q6" s="92"/>
      <c r="R6" s="92">
        <v>3</v>
      </c>
      <c r="S6" s="92">
        <v>2</v>
      </c>
      <c r="T6" s="92">
        <v>2</v>
      </c>
      <c r="U6" s="92">
        <v>3</v>
      </c>
      <c r="V6" s="92"/>
      <c r="W6" s="92"/>
      <c r="X6" s="92"/>
      <c r="Y6" s="92">
        <v>3</v>
      </c>
      <c r="Z6" s="92">
        <v>3</v>
      </c>
      <c r="AA6" s="92">
        <v>3</v>
      </c>
      <c r="AB6" s="92">
        <v>3</v>
      </c>
      <c r="AC6" s="92"/>
      <c r="AD6" s="92"/>
      <c r="AE6" s="102"/>
      <c r="AF6" s="103"/>
      <c r="AG6" s="33">
        <f t="shared" si="0"/>
        <v>46</v>
      </c>
    </row>
    <row r="7" spans="1:33" ht="20.25">
      <c r="A7" s="29">
        <v>321</v>
      </c>
      <c r="B7" s="93"/>
      <c r="C7" s="93"/>
      <c r="D7" s="93">
        <v>3</v>
      </c>
      <c r="E7" s="93">
        <v>3</v>
      </c>
      <c r="F7" s="93">
        <v>3</v>
      </c>
      <c r="G7" s="93">
        <v>3</v>
      </c>
      <c r="H7" s="93"/>
      <c r="I7" s="93"/>
      <c r="J7" s="93"/>
      <c r="K7" s="93">
        <v>3</v>
      </c>
      <c r="L7" s="93">
        <v>3</v>
      </c>
      <c r="M7" s="93">
        <v>3</v>
      </c>
      <c r="N7" s="93">
        <v>3</v>
      </c>
      <c r="O7" s="93"/>
      <c r="P7" s="93"/>
      <c r="Q7" s="93"/>
      <c r="R7" s="93">
        <v>2</v>
      </c>
      <c r="S7" s="93">
        <v>2</v>
      </c>
      <c r="T7" s="93">
        <v>3</v>
      </c>
      <c r="U7" s="93">
        <v>3</v>
      </c>
      <c r="V7" s="93"/>
      <c r="W7" s="93"/>
      <c r="X7" s="93"/>
      <c r="Y7" s="93">
        <v>3</v>
      </c>
      <c r="Z7" s="93">
        <v>3</v>
      </c>
      <c r="AA7" s="93">
        <v>3</v>
      </c>
      <c r="AB7" s="93">
        <v>3</v>
      </c>
      <c r="AC7" s="93"/>
      <c r="AD7" s="93"/>
      <c r="AE7" s="97"/>
      <c r="AF7" s="104"/>
      <c r="AG7" s="35">
        <f t="shared" si="0"/>
        <v>46</v>
      </c>
    </row>
    <row r="8" spans="1:33" ht="20.25">
      <c r="A8" s="30">
        <v>322</v>
      </c>
      <c r="B8" s="89"/>
      <c r="C8" s="89"/>
      <c r="D8" s="89">
        <v>3</v>
      </c>
      <c r="E8" s="89">
        <v>3</v>
      </c>
      <c r="F8" s="89">
        <v>3</v>
      </c>
      <c r="G8" s="89">
        <v>3</v>
      </c>
      <c r="H8" s="89"/>
      <c r="I8" s="89"/>
      <c r="J8" s="89"/>
      <c r="K8" s="89">
        <v>3</v>
      </c>
      <c r="L8" s="89">
        <v>3</v>
      </c>
      <c r="M8" s="89">
        <v>3</v>
      </c>
      <c r="N8" s="89">
        <v>3</v>
      </c>
      <c r="O8" s="89"/>
      <c r="P8" s="89"/>
      <c r="Q8" s="89"/>
      <c r="R8" s="89">
        <v>2</v>
      </c>
      <c r="S8" s="89">
        <v>2</v>
      </c>
      <c r="T8" s="89">
        <v>2</v>
      </c>
      <c r="U8" s="89">
        <v>3</v>
      </c>
      <c r="V8" s="89"/>
      <c r="W8" s="89"/>
      <c r="X8" s="89"/>
      <c r="Y8" s="89">
        <v>2</v>
      </c>
      <c r="Z8" s="89">
        <v>2</v>
      </c>
      <c r="AA8" s="89">
        <v>2</v>
      </c>
      <c r="AB8" s="89">
        <v>3</v>
      </c>
      <c r="AC8" s="89"/>
      <c r="AD8" s="89"/>
      <c r="AE8" s="98"/>
      <c r="AF8" s="99"/>
      <c r="AG8" s="37">
        <f t="shared" si="0"/>
        <v>42</v>
      </c>
    </row>
    <row r="9" spans="1:33" ht="20.25">
      <c r="A9" s="38">
        <v>323</v>
      </c>
      <c r="B9" s="95"/>
      <c r="C9" s="95"/>
      <c r="D9" s="94">
        <v>3</v>
      </c>
      <c r="E9" s="95">
        <v>3</v>
      </c>
      <c r="F9" s="94">
        <v>3</v>
      </c>
      <c r="G9" s="95">
        <v>3</v>
      </c>
      <c r="H9" s="95"/>
      <c r="I9" s="95"/>
      <c r="J9" s="95"/>
      <c r="K9" s="94">
        <v>3</v>
      </c>
      <c r="L9" s="95">
        <v>3</v>
      </c>
      <c r="M9" s="94">
        <v>3</v>
      </c>
      <c r="N9" s="95">
        <v>3</v>
      </c>
      <c r="O9" s="95"/>
      <c r="P9" s="95"/>
      <c r="Q9" s="95"/>
      <c r="R9" s="94">
        <v>3</v>
      </c>
      <c r="S9" s="95">
        <v>3</v>
      </c>
      <c r="T9" s="94">
        <v>3</v>
      </c>
      <c r="U9" s="95">
        <v>3</v>
      </c>
      <c r="V9" s="95"/>
      <c r="W9" s="95"/>
      <c r="X9" s="95"/>
      <c r="Y9" s="94">
        <v>3</v>
      </c>
      <c r="Z9" s="95">
        <v>3</v>
      </c>
      <c r="AA9" s="94">
        <v>3</v>
      </c>
      <c r="AB9" s="95">
        <v>3</v>
      </c>
      <c r="AC9" s="95"/>
      <c r="AD9" s="95"/>
      <c r="AE9" s="105"/>
      <c r="AF9" s="90"/>
      <c r="AG9" s="40">
        <f t="shared" si="0"/>
        <v>48</v>
      </c>
    </row>
    <row r="10" spans="1:33" ht="20.25">
      <c r="A10" s="41">
        <v>326</v>
      </c>
      <c r="B10" s="91"/>
      <c r="C10" s="91"/>
      <c r="D10" s="91">
        <v>3</v>
      </c>
      <c r="E10" s="91">
        <v>3</v>
      </c>
      <c r="F10" s="91">
        <v>3</v>
      </c>
      <c r="G10" s="91">
        <v>3</v>
      </c>
      <c r="H10" s="91"/>
      <c r="I10" s="91"/>
      <c r="J10" s="91"/>
      <c r="K10" s="91">
        <v>3</v>
      </c>
      <c r="L10" s="91">
        <v>3</v>
      </c>
      <c r="M10" s="91">
        <v>3</v>
      </c>
      <c r="N10" s="91">
        <v>3</v>
      </c>
      <c r="O10" s="91"/>
      <c r="P10" s="91"/>
      <c r="Q10" s="91"/>
      <c r="R10" s="91">
        <v>3</v>
      </c>
      <c r="S10" s="91">
        <v>3</v>
      </c>
      <c r="T10" s="91">
        <v>3</v>
      </c>
      <c r="U10" s="91">
        <v>3</v>
      </c>
      <c r="V10" s="91"/>
      <c r="W10" s="91"/>
      <c r="X10" s="91"/>
      <c r="Y10" s="91">
        <v>3</v>
      </c>
      <c r="Z10" s="91">
        <v>3</v>
      </c>
      <c r="AA10" s="91">
        <v>3</v>
      </c>
      <c r="AB10" s="91">
        <v>3</v>
      </c>
      <c r="AC10" s="91"/>
      <c r="AD10" s="91"/>
      <c r="AE10" s="101"/>
      <c r="AF10" s="100"/>
      <c r="AG10" s="43">
        <f t="shared" si="0"/>
        <v>48</v>
      </c>
    </row>
    <row r="11" spans="1:33" ht="20.25">
      <c r="A11" s="28">
        <v>328</v>
      </c>
      <c r="B11" s="92"/>
      <c r="C11" s="92"/>
      <c r="D11" s="92">
        <v>3</v>
      </c>
      <c r="E11" s="92">
        <v>3</v>
      </c>
      <c r="F11" s="92">
        <v>3</v>
      </c>
      <c r="G11" s="92">
        <v>3</v>
      </c>
      <c r="H11" s="92"/>
      <c r="I11" s="92"/>
      <c r="J11" s="92"/>
      <c r="K11" s="92">
        <v>3</v>
      </c>
      <c r="L11" s="92">
        <v>3</v>
      </c>
      <c r="M11" s="92">
        <v>3</v>
      </c>
      <c r="N11" s="92">
        <v>3</v>
      </c>
      <c r="O11" s="92"/>
      <c r="P11" s="92"/>
      <c r="Q11" s="92"/>
      <c r="R11" s="92">
        <v>3</v>
      </c>
      <c r="S11" s="92">
        <v>3</v>
      </c>
      <c r="T11" s="92">
        <v>3</v>
      </c>
      <c r="U11" s="92">
        <v>3</v>
      </c>
      <c r="V11" s="92"/>
      <c r="W11" s="92"/>
      <c r="X11" s="92"/>
      <c r="Y11" s="92">
        <v>3</v>
      </c>
      <c r="Z11" s="92">
        <v>3</v>
      </c>
      <c r="AA11" s="92">
        <v>3</v>
      </c>
      <c r="AB11" s="92">
        <v>3</v>
      </c>
      <c r="AC11" s="92"/>
      <c r="AD11" s="92"/>
      <c r="AE11" s="102"/>
      <c r="AF11" s="103"/>
      <c r="AG11" s="44">
        <f t="shared" si="0"/>
        <v>48</v>
      </c>
    </row>
    <row r="12" spans="1:33" ht="20.25">
      <c r="A12" s="29">
        <v>329</v>
      </c>
      <c r="B12" s="93"/>
      <c r="C12" s="93"/>
      <c r="D12" s="93">
        <v>3</v>
      </c>
      <c r="E12" s="93">
        <v>3</v>
      </c>
      <c r="F12" s="93">
        <v>3</v>
      </c>
      <c r="G12" s="93">
        <v>3</v>
      </c>
      <c r="H12" s="93"/>
      <c r="I12" s="93"/>
      <c r="J12" s="93"/>
      <c r="K12" s="93">
        <v>2</v>
      </c>
      <c r="L12" s="93">
        <v>3</v>
      </c>
      <c r="M12" s="93">
        <v>2</v>
      </c>
      <c r="N12" s="93">
        <v>3</v>
      </c>
      <c r="O12" s="93"/>
      <c r="P12" s="93"/>
      <c r="Q12" s="93"/>
      <c r="R12" s="93">
        <v>3</v>
      </c>
      <c r="S12" s="93">
        <v>2</v>
      </c>
      <c r="T12" s="93">
        <v>2</v>
      </c>
      <c r="U12" s="93">
        <v>2</v>
      </c>
      <c r="V12" s="93"/>
      <c r="W12" s="93"/>
      <c r="X12" s="93"/>
      <c r="Y12" s="93">
        <v>2</v>
      </c>
      <c r="Z12" s="93">
        <v>3</v>
      </c>
      <c r="AA12" s="93">
        <v>3</v>
      </c>
      <c r="AB12" s="93">
        <v>3</v>
      </c>
      <c r="AC12" s="93"/>
      <c r="AD12" s="93"/>
      <c r="AE12" s="97"/>
      <c r="AF12" s="106"/>
      <c r="AG12" s="35">
        <f t="shared" si="0"/>
        <v>42</v>
      </c>
    </row>
    <row r="13" spans="1:33" ht="20.25">
      <c r="A13" s="30">
        <v>330</v>
      </c>
      <c r="B13" s="89"/>
      <c r="C13" s="89"/>
      <c r="D13" s="89">
        <v>3</v>
      </c>
      <c r="E13" s="89">
        <v>3</v>
      </c>
      <c r="F13" s="89">
        <v>3</v>
      </c>
      <c r="G13" s="89">
        <v>3</v>
      </c>
      <c r="H13" s="89"/>
      <c r="I13" s="89"/>
      <c r="J13" s="89"/>
      <c r="K13" s="89">
        <v>3</v>
      </c>
      <c r="L13" s="89">
        <v>3</v>
      </c>
      <c r="M13" s="89">
        <v>3</v>
      </c>
      <c r="N13" s="89">
        <v>3</v>
      </c>
      <c r="O13" s="89"/>
      <c r="P13" s="89"/>
      <c r="Q13" s="89"/>
      <c r="R13" s="89">
        <v>3</v>
      </c>
      <c r="S13" s="89">
        <v>3</v>
      </c>
      <c r="T13" s="89">
        <v>2</v>
      </c>
      <c r="U13" s="89">
        <v>3</v>
      </c>
      <c r="V13" s="89"/>
      <c r="W13" s="89"/>
      <c r="X13" s="89"/>
      <c r="Y13" s="89">
        <v>3</v>
      </c>
      <c r="Z13" s="89">
        <v>3</v>
      </c>
      <c r="AA13" s="89">
        <v>3</v>
      </c>
      <c r="AB13" s="89">
        <v>3</v>
      </c>
      <c r="AC13" s="89"/>
      <c r="AD13" s="89"/>
      <c r="AE13" s="98"/>
      <c r="AF13" s="99"/>
      <c r="AG13" s="37">
        <f t="shared" si="0"/>
        <v>47</v>
      </c>
    </row>
    <row r="14" spans="1:33" ht="20.25">
      <c r="A14" s="38">
        <v>331</v>
      </c>
      <c r="B14" s="95"/>
      <c r="C14" s="95"/>
      <c r="D14" s="95">
        <v>3</v>
      </c>
      <c r="E14" s="95">
        <v>3</v>
      </c>
      <c r="F14" s="95">
        <v>3</v>
      </c>
      <c r="G14" s="95">
        <v>3</v>
      </c>
      <c r="H14" s="95"/>
      <c r="I14" s="95"/>
      <c r="J14" s="95"/>
      <c r="K14" s="95">
        <v>3</v>
      </c>
      <c r="L14" s="95">
        <v>3</v>
      </c>
      <c r="M14" s="95">
        <v>3</v>
      </c>
      <c r="N14" s="95">
        <v>3</v>
      </c>
      <c r="O14" s="95"/>
      <c r="P14" s="95"/>
      <c r="Q14" s="95"/>
      <c r="R14" s="95">
        <v>3</v>
      </c>
      <c r="S14" s="95">
        <v>3</v>
      </c>
      <c r="T14" s="95">
        <v>3</v>
      </c>
      <c r="U14" s="95">
        <v>3</v>
      </c>
      <c r="V14" s="95"/>
      <c r="W14" s="95"/>
      <c r="X14" s="95"/>
      <c r="Y14" s="95">
        <v>3</v>
      </c>
      <c r="Z14" s="95">
        <v>3</v>
      </c>
      <c r="AA14" s="95">
        <v>3</v>
      </c>
      <c r="AB14" s="95">
        <v>3</v>
      </c>
      <c r="AC14" s="95"/>
      <c r="AD14" s="95"/>
      <c r="AE14" s="105"/>
      <c r="AF14" s="90"/>
      <c r="AG14" s="40">
        <f t="shared" si="0"/>
        <v>48</v>
      </c>
    </row>
    <row r="15" spans="1:33" ht="20.25">
      <c r="A15" s="41">
        <v>332</v>
      </c>
      <c r="B15" s="91"/>
      <c r="C15" s="91"/>
      <c r="D15" s="91">
        <v>3</v>
      </c>
      <c r="E15" s="91">
        <v>3</v>
      </c>
      <c r="F15" s="91">
        <v>3</v>
      </c>
      <c r="G15" s="91">
        <v>3</v>
      </c>
      <c r="H15" s="91"/>
      <c r="I15" s="91"/>
      <c r="J15" s="91"/>
      <c r="K15" s="91">
        <v>3</v>
      </c>
      <c r="L15" s="91">
        <v>2</v>
      </c>
      <c r="M15" s="91">
        <v>2</v>
      </c>
      <c r="N15" s="91">
        <v>2</v>
      </c>
      <c r="O15" s="91"/>
      <c r="P15" s="91"/>
      <c r="Q15" s="91"/>
      <c r="R15" s="91">
        <v>2</v>
      </c>
      <c r="S15" s="91">
        <v>2</v>
      </c>
      <c r="T15" s="91">
        <v>2</v>
      </c>
      <c r="U15" s="91">
        <v>2</v>
      </c>
      <c r="V15" s="91"/>
      <c r="W15" s="91"/>
      <c r="X15" s="91"/>
      <c r="Y15" s="91">
        <v>2</v>
      </c>
      <c r="Z15" s="91">
        <v>3</v>
      </c>
      <c r="AA15" s="91">
        <v>2</v>
      </c>
      <c r="AB15" s="91">
        <v>2</v>
      </c>
      <c r="AC15" s="91"/>
      <c r="AD15" s="91"/>
      <c r="AE15" s="101"/>
      <c r="AF15" s="100"/>
      <c r="AG15" s="43">
        <f t="shared" si="0"/>
        <v>38</v>
      </c>
    </row>
    <row r="16" spans="1:33" ht="20.25">
      <c r="A16" s="28">
        <v>333</v>
      </c>
      <c r="B16" s="96"/>
      <c r="C16" s="96"/>
      <c r="D16" s="96">
        <v>3</v>
      </c>
      <c r="E16" s="96">
        <v>3</v>
      </c>
      <c r="F16" s="96">
        <v>1</v>
      </c>
      <c r="G16" s="96">
        <v>3</v>
      </c>
      <c r="H16" s="96"/>
      <c r="I16" s="96"/>
      <c r="J16" s="96"/>
      <c r="K16" s="96">
        <v>1</v>
      </c>
      <c r="L16" s="96">
        <v>2</v>
      </c>
      <c r="M16" s="96">
        <v>2</v>
      </c>
      <c r="N16" s="96">
        <v>3</v>
      </c>
      <c r="O16" s="96"/>
      <c r="P16" s="96"/>
      <c r="Q16" s="96"/>
      <c r="R16" s="96">
        <v>2</v>
      </c>
      <c r="S16" s="96">
        <v>2</v>
      </c>
      <c r="T16" s="96">
        <v>3</v>
      </c>
      <c r="U16" s="96">
        <v>3</v>
      </c>
      <c r="V16" s="96"/>
      <c r="W16" s="96"/>
      <c r="X16" s="96"/>
      <c r="Y16" s="96">
        <v>2</v>
      </c>
      <c r="Z16" s="96">
        <v>3</v>
      </c>
      <c r="AA16" s="96">
        <v>2</v>
      </c>
      <c r="AB16" s="96">
        <v>3</v>
      </c>
      <c r="AC16" s="96"/>
      <c r="AD16" s="96"/>
      <c r="AE16" s="107"/>
      <c r="AF16" s="103"/>
      <c r="AG16" s="46">
        <f t="shared" si="0"/>
        <v>38</v>
      </c>
    </row>
    <row r="17" spans="1:33" ht="20.25">
      <c r="A17" s="31">
        <v>334</v>
      </c>
      <c r="B17" s="93"/>
      <c r="C17" s="93"/>
      <c r="D17" s="93">
        <v>3</v>
      </c>
      <c r="E17" s="93">
        <v>3</v>
      </c>
      <c r="F17" s="93">
        <v>3</v>
      </c>
      <c r="G17" s="93">
        <v>3</v>
      </c>
      <c r="H17" s="93"/>
      <c r="I17" s="93"/>
      <c r="J17" s="97"/>
      <c r="K17" s="93">
        <v>3</v>
      </c>
      <c r="L17" s="93">
        <v>3</v>
      </c>
      <c r="M17" s="93">
        <v>3</v>
      </c>
      <c r="N17" s="93">
        <v>3</v>
      </c>
      <c r="O17" s="93"/>
      <c r="P17" s="93"/>
      <c r="Q17" s="97"/>
      <c r="R17" s="93">
        <v>3</v>
      </c>
      <c r="S17" s="93">
        <v>3</v>
      </c>
      <c r="T17" s="93">
        <v>3</v>
      </c>
      <c r="U17" s="93">
        <v>3</v>
      </c>
      <c r="V17" s="97"/>
      <c r="W17" s="93"/>
      <c r="X17" s="97"/>
      <c r="Y17" s="93">
        <v>2</v>
      </c>
      <c r="Z17" s="93">
        <v>2</v>
      </c>
      <c r="AA17" s="93">
        <v>2</v>
      </c>
      <c r="AB17" s="93">
        <v>2</v>
      </c>
      <c r="AC17" s="97"/>
      <c r="AD17" s="93"/>
      <c r="AE17" s="97"/>
      <c r="AF17" s="108"/>
      <c r="AG17" s="35">
        <f t="shared" si="0"/>
        <v>44</v>
      </c>
    </row>
  </sheetData>
  <mergeCells count="2">
    <mergeCell ref="D1:L1"/>
    <mergeCell ref="O1:W1"/>
  </mergeCells>
  <pageMargins left="0.25" right="0.25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AG17"/>
  <sheetViews>
    <sheetView workbookViewId="0">
      <selection activeCell="P15" sqref="P15"/>
    </sheetView>
  </sheetViews>
  <sheetFormatPr defaultRowHeight="14.25"/>
  <cols>
    <col min="1" max="1" width="8.25"/>
    <col min="2" max="3" width="4" bestFit="1" customWidth="1"/>
    <col min="4" max="7" width="4.5" bestFit="1" customWidth="1"/>
    <col min="8" max="8" width="3.625"/>
    <col min="9" max="10" width="6.5" bestFit="1" customWidth="1"/>
    <col min="11" max="12" width="4.5" bestFit="1" customWidth="1"/>
    <col min="13" max="14" width="6.625" bestFit="1" customWidth="1"/>
    <col min="15" max="17" width="6.5" bestFit="1" customWidth="1"/>
    <col min="18" max="19" width="3.625" customWidth="1"/>
    <col min="20" max="21" width="6.625" bestFit="1" customWidth="1"/>
    <col min="22" max="24" width="6.5" bestFit="1" customWidth="1"/>
    <col min="25" max="26" width="4.5" bestFit="1" customWidth="1"/>
    <col min="27" max="28" width="6.625" bestFit="1" customWidth="1"/>
    <col min="29" max="29" width="6.5" bestFit="1" customWidth="1"/>
    <col min="30" max="32" width="3.625"/>
    <col min="33" max="33" width="10.375"/>
  </cols>
  <sheetData>
    <row r="1" spans="1:33" ht="21.95" customHeight="1">
      <c r="A1" s="1"/>
      <c r="B1" s="1"/>
      <c r="C1" s="1"/>
      <c r="D1" s="139" t="str">
        <f>T(INDYWIDUAL!B1)</f>
        <v>wrzesień</v>
      </c>
      <c r="E1" s="139"/>
      <c r="F1" s="139"/>
      <c r="G1" s="139"/>
      <c r="H1" s="139"/>
      <c r="I1" s="139"/>
      <c r="J1" s="139"/>
      <c r="K1" s="139"/>
      <c r="L1" s="139"/>
      <c r="M1" s="1"/>
      <c r="N1" s="1"/>
      <c r="O1" s="139" t="s">
        <v>10</v>
      </c>
      <c r="P1" s="139"/>
      <c r="Q1" s="139"/>
      <c r="R1" s="139"/>
      <c r="S1" s="139"/>
      <c r="T1" s="139"/>
      <c r="U1" s="139"/>
      <c r="V1" s="139"/>
      <c r="W1" s="139"/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 ht="15">
      <c r="A2" s="3" t="s">
        <v>1</v>
      </c>
      <c r="B2" s="5">
        <v>1</v>
      </c>
      <c r="C2" s="5">
        <v>2</v>
      </c>
      <c r="D2" s="5">
        <v>3</v>
      </c>
      <c r="E2" s="5">
        <v>4</v>
      </c>
      <c r="F2" s="5">
        <v>5</v>
      </c>
      <c r="G2" s="5">
        <v>6</v>
      </c>
      <c r="H2" s="5">
        <v>7</v>
      </c>
      <c r="I2" s="5">
        <v>8</v>
      </c>
      <c r="J2" s="5">
        <v>9</v>
      </c>
      <c r="K2" s="5">
        <v>10</v>
      </c>
      <c r="L2" s="5">
        <v>11</v>
      </c>
      <c r="M2" s="5">
        <v>12</v>
      </c>
      <c r="N2" s="5">
        <v>13</v>
      </c>
      <c r="O2" s="5">
        <v>14</v>
      </c>
      <c r="P2" s="5">
        <v>15</v>
      </c>
      <c r="Q2" s="5">
        <v>16</v>
      </c>
      <c r="R2" s="5">
        <v>17</v>
      </c>
      <c r="S2" s="5">
        <v>18</v>
      </c>
      <c r="T2" s="5">
        <v>19</v>
      </c>
      <c r="U2" s="5">
        <v>20</v>
      </c>
      <c r="V2" s="5">
        <v>21</v>
      </c>
      <c r="W2" s="5">
        <v>22</v>
      </c>
      <c r="X2" s="5">
        <v>23</v>
      </c>
      <c r="Y2" s="5">
        <v>24</v>
      </c>
      <c r="Z2" s="5">
        <v>25</v>
      </c>
      <c r="AA2" s="5">
        <v>26</v>
      </c>
      <c r="AB2" s="5">
        <v>27</v>
      </c>
      <c r="AC2" s="5">
        <v>28</v>
      </c>
      <c r="AD2" s="5">
        <v>29</v>
      </c>
      <c r="AE2" s="5">
        <v>30</v>
      </c>
      <c r="AF2" s="5">
        <v>31</v>
      </c>
      <c r="AG2" s="6" t="s">
        <v>3</v>
      </c>
    </row>
    <row r="3" spans="1:33" ht="20.25">
      <c r="A3" s="30">
        <v>312</v>
      </c>
      <c r="B3" s="89"/>
      <c r="C3" s="89"/>
      <c r="D3" s="89">
        <v>3</v>
      </c>
      <c r="E3" s="89">
        <v>3</v>
      </c>
      <c r="F3" s="89">
        <v>3</v>
      </c>
      <c r="G3" s="89">
        <v>3</v>
      </c>
      <c r="H3" s="89"/>
      <c r="I3" s="89"/>
      <c r="J3" s="89"/>
      <c r="K3" s="89">
        <v>3</v>
      </c>
      <c r="L3" s="89">
        <v>2</v>
      </c>
      <c r="M3" s="89">
        <v>3</v>
      </c>
      <c r="N3" s="89">
        <v>3</v>
      </c>
      <c r="O3" s="89"/>
      <c r="P3" s="89"/>
      <c r="Q3" s="89"/>
      <c r="R3" s="89">
        <v>3</v>
      </c>
      <c r="S3" s="89">
        <v>3</v>
      </c>
      <c r="T3" s="89">
        <v>3</v>
      </c>
      <c r="U3" s="89">
        <v>3</v>
      </c>
      <c r="V3" s="89"/>
      <c r="W3" s="89"/>
      <c r="X3" s="89"/>
      <c r="Y3" s="89">
        <v>3</v>
      </c>
      <c r="Z3" s="89">
        <v>3</v>
      </c>
      <c r="AA3" s="89">
        <v>3</v>
      </c>
      <c r="AB3" s="89">
        <v>3</v>
      </c>
      <c r="AC3" s="89"/>
      <c r="AD3" s="89"/>
      <c r="AE3" s="98"/>
      <c r="AF3" s="99"/>
      <c r="AG3" s="37">
        <f t="shared" ref="AG3:AG5" si="0">SUM(B3:AF3)</f>
        <v>47</v>
      </c>
    </row>
    <row r="4" spans="1:33" ht="18">
      <c r="A4" s="38">
        <v>313</v>
      </c>
      <c r="B4" s="90"/>
      <c r="C4" s="90"/>
      <c r="D4" s="90">
        <v>3</v>
      </c>
      <c r="E4" s="90">
        <v>3</v>
      </c>
      <c r="F4" s="90">
        <v>3</v>
      </c>
      <c r="G4" s="90">
        <v>3</v>
      </c>
      <c r="H4" s="90"/>
      <c r="I4" s="90"/>
      <c r="J4" s="90"/>
      <c r="K4" s="90">
        <v>3</v>
      </c>
      <c r="L4" s="90">
        <v>2</v>
      </c>
      <c r="M4" s="90">
        <v>2</v>
      </c>
      <c r="N4" s="90">
        <v>2</v>
      </c>
      <c r="O4" s="90"/>
      <c r="P4" s="90"/>
      <c r="Q4" s="90"/>
      <c r="R4" s="90">
        <v>1</v>
      </c>
      <c r="S4" s="90">
        <v>1</v>
      </c>
      <c r="T4" s="90">
        <v>1</v>
      </c>
      <c r="U4" s="90">
        <v>1</v>
      </c>
      <c r="V4" s="90"/>
      <c r="W4" s="90"/>
      <c r="X4" s="90"/>
      <c r="Y4" s="90">
        <v>3</v>
      </c>
      <c r="Z4" s="90">
        <v>3</v>
      </c>
      <c r="AA4" s="90">
        <v>3</v>
      </c>
      <c r="AB4" s="90">
        <v>3</v>
      </c>
      <c r="AC4" s="90"/>
      <c r="AD4" s="90"/>
      <c r="AE4" s="90"/>
      <c r="AF4" s="90"/>
      <c r="AG4" s="38">
        <f t="shared" si="0"/>
        <v>37</v>
      </c>
    </row>
    <row r="5" spans="1:33" ht="20.25">
      <c r="A5" s="41">
        <v>319</v>
      </c>
      <c r="B5" s="100"/>
      <c r="C5" s="91"/>
      <c r="D5" s="91">
        <v>3</v>
      </c>
      <c r="E5" s="91">
        <v>3</v>
      </c>
      <c r="F5" s="91">
        <v>3</v>
      </c>
      <c r="G5" s="91">
        <v>3</v>
      </c>
      <c r="H5" s="91"/>
      <c r="I5" s="91"/>
      <c r="J5" s="91"/>
      <c r="K5" s="91">
        <v>3</v>
      </c>
      <c r="L5" s="91">
        <v>3</v>
      </c>
      <c r="M5" s="91">
        <v>3</v>
      </c>
      <c r="N5" s="91">
        <v>3</v>
      </c>
      <c r="O5" s="91"/>
      <c r="P5" s="91"/>
      <c r="Q5" s="91"/>
      <c r="R5" s="91">
        <v>3</v>
      </c>
      <c r="S5" s="91">
        <v>3</v>
      </c>
      <c r="T5" s="91">
        <v>3</v>
      </c>
      <c r="U5" s="91">
        <v>3</v>
      </c>
      <c r="V5" s="91"/>
      <c r="W5" s="91"/>
      <c r="X5" s="91"/>
      <c r="Y5" s="91">
        <v>3</v>
      </c>
      <c r="Z5" s="91">
        <v>3</v>
      </c>
      <c r="AA5" s="91">
        <v>3</v>
      </c>
      <c r="AB5" s="91">
        <v>3</v>
      </c>
      <c r="AC5" s="91"/>
      <c r="AD5" s="91"/>
      <c r="AE5" s="91"/>
      <c r="AF5" s="101"/>
      <c r="AG5" s="41">
        <f t="shared" si="0"/>
        <v>48</v>
      </c>
    </row>
    <row r="6" spans="1:33" ht="20.25">
      <c r="A6" s="28">
        <v>320</v>
      </c>
      <c r="B6" s="92"/>
      <c r="C6" s="92"/>
      <c r="D6" s="92">
        <v>3</v>
      </c>
      <c r="E6" s="92">
        <v>3</v>
      </c>
      <c r="F6" s="92">
        <v>3</v>
      </c>
      <c r="G6" s="92">
        <v>3</v>
      </c>
      <c r="H6" s="92"/>
      <c r="I6" s="92"/>
      <c r="J6" s="92"/>
      <c r="K6" s="92">
        <v>3</v>
      </c>
      <c r="L6" s="92">
        <v>3</v>
      </c>
      <c r="M6" s="92">
        <v>3</v>
      </c>
      <c r="N6" s="92">
        <v>3</v>
      </c>
      <c r="O6" s="92"/>
      <c r="P6" s="92"/>
      <c r="Q6" s="92"/>
      <c r="R6" s="92">
        <v>3</v>
      </c>
      <c r="S6" s="92">
        <v>3</v>
      </c>
      <c r="T6" s="92">
        <v>3</v>
      </c>
      <c r="U6" s="92">
        <v>3</v>
      </c>
      <c r="V6" s="92"/>
      <c r="W6" s="92"/>
      <c r="X6" s="92"/>
      <c r="Y6" s="92">
        <v>3</v>
      </c>
      <c r="Z6" s="92">
        <v>3</v>
      </c>
      <c r="AA6" s="92">
        <v>3</v>
      </c>
      <c r="AB6" s="92">
        <v>3</v>
      </c>
      <c r="AC6" s="92"/>
      <c r="AD6" s="92"/>
      <c r="AE6" s="102"/>
      <c r="AF6" s="103"/>
      <c r="AG6" s="33">
        <f t="shared" ref="AG6:AG17" si="1">SUM(B6:AF6)</f>
        <v>48</v>
      </c>
    </row>
    <row r="7" spans="1:33" ht="20.25">
      <c r="A7" s="29">
        <v>321</v>
      </c>
      <c r="B7" s="93"/>
      <c r="C7" s="93"/>
      <c r="D7" s="93">
        <v>3</v>
      </c>
      <c r="E7" s="93">
        <v>3</v>
      </c>
      <c r="F7" s="93">
        <v>3</v>
      </c>
      <c r="G7" s="93">
        <v>3</v>
      </c>
      <c r="H7" s="93"/>
      <c r="I7" s="93"/>
      <c r="J7" s="93"/>
      <c r="K7" s="93">
        <v>3</v>
      </c>
      <c r="L7" s="93">
        <v>3</v>
      </c>
      <c r="M7" s="93">
        <v>3</v>
      </c>
      <c r="N7" s="93">
        <v>3</v>
      </c>
      <c r="O7" s="93"/>
      <c r="P7" s="93"/>
      <c r="Q7" s="93"/>
      <c r="R7" s="93">
        <v>3</v>
      </c>
      <c r="S7" s="93">
        <v>3</v>
      </c>
      <c r="T7" s="93">
        <v>3</v>
      </c>
      <c r="U7" s="93">
        <v>3</v>
      </c>
      <c r="V7" s="93"/>
      <c r="W7" s="93"/>
      <c r="X7" s="93"/>
      <c r="Y7" s="93">
        <v>3</v>
      </c>
      <c r="Z7" s="93">
        <v>3</v>
      </c>
      <c r="AA7" s="93">
        <v>3</v>
      </c>
      <c r="AB7" s="93">
        <v>3</v>
      </c>
      <c r="AC7" s="93"/>
      <c r="AD7" s="93"/>
      <c r="AE7" s="97"/>
      <c r="AF7" s="104"/>
      <c r="AG7" s="35">
        <f t="shared" si="1"/>
        <v>48</v>
      </c>
    </row>
    <row r="8" spans="1:33" ht="20.25">
      <c r="A8" s="30">
        <v>322</v>
      </c>
      <c r="B8" s="89"/>
      <c r="C8" s="89"/>
      <c r="D8" s="89">
        <v>3</v>
      </c>
      <c r="E8" s="89">
        <v>3</v>
      </c>
      <c r="F8" s="89">
        <v>3</v>
      </c>
      <c r="G8" s="89">
        <v>3</v>
      </c>
      <c r="H8" s="89"/>
      <c r="I8" s="89"/>
      <c r="J8" s="89"/>
      <c r="K8" s="89">
        <v>3</v>
      </c>
      <c r="L8" s="89">
        <v>3</v>
      </c>
      <c r="M8" s="89">
        <v>3</v>
      </c>
      <c r="N8" s="89">
        <v>3</v>
      </c>
      <c r="O8" s="89"/>
      <c r="P8" s="89"/>
      <c r="Q8" s="89"/>
      <c r="R8" s="89">
        <v>3</v>
      </c>
      <c r="S8" s="89">
        <v>3</v>
      </c>
      <c r="T8" s="89">
        <v>3</v>
      </c>
      <c r="U8" s="89">
        <v>3</v>
      </c>
      <c r="V8" s="89"/>
      <c r="W8" s="89"/>
      <c r="X8" s="89"/>
      <c r="Y8" s="89">
        <v>3</v>
      </c>
      <c r="Z8" s="89">
        <v>3</v>
      </c>
      <c r="AA8" s="89">
        <v>3</v>
      </c>
      <c r="AB8" s="89">
        <v>3</v>
      </c>
      <c r="AC8" s="89"/>
      <c r="AD8" s="89"/>
      <c r="AE8" s="98"/>
      <c r="AF8" s="99"/>
      <c r="AG8" s="37">
        <f t="shared" si="1"/>
        <v>48</v>
      </c>
    </row>
    <row r="9" spans="1:33" ht="20.25">
      <c r="A9" s="38">
        <v>323</v>
      </c>
      <c r="B9" s="95"/>
      <c r="C9" s="95"/>
      <c r="D9" s="94">
        <v>3</v>
      </c>
      <c r="E9" s="95">
        <v>3</v>
      </c>
      <c r="F9" s="94">
        <v>3</v>
      </c>
      <c r="G9" s="95">
        <v>3</v>
      </c>
      <c r="H9" s="95"/>
      <c r="I9" s="95"/>
      <c r="J9" s="95"/>
      <c r="K9" s="94">
        <v>3</v>
      </c>
      <c r="L9" s="95">
        <v>2</v>
      </c>
      <c r="M9" s="94">
        <v>2</v>
      </c>
      <c r="N9" s="95">
        <v>2</v>
      </c>
      <c r="O9" s="95"/>
      <c r="P9" s="95"/>
      <c r="Q9" s="95"/>
      <c r="R9" s="94">
        <v>1</v>
      </c>
      <c r="S9" s="95">
        <v>1</v>
      </c>
      <c r="T9" s="94">
        <v>3</v>
      </c>
      <c r="U9" s="95">
        <v>3</v>
      </c>
      <c r="V9" s="95"/>
      <c r="W9" s="95"/>
      <c r="X9" s="95"/>
      <c r="Y9" s="94">
        <v>3</v>
      </c>
      <c r="Z9" s="95">
        <v>3</v>
      </c>
      <c r="AA9" s="94">
        <v>3</v>
      </c>
      <c r="AB9" s="95">
        <v>3</v>
      </c>
      <c r="AC9" s="95"/>
      <c r="AD9" s="95"/>
      <c r="AE9" s="105"/>
      <c r="AF9" s="90"/>
      <c r="AG9" s="40">
        <f t="shared" si="1"/>
        <v>41</v>
      </c>
    </row>
    <row r="10" spans="1:33" ht="20.25">
      <c r="A10" s="41">
        <v>326</v>
      </c>
      <c r="B10" s="91"/>
      <c r="C10" s="91"/>
      <c r="D10" s="91">
        <v>3</v>
      </c>
      <c r="E10" s="91">
        <v>3</v>
      </c>
      <c r="F10" s="91">
        <v>3</v>
      </c>
      <c r="G10" s="91">
        <v>3</v>
      </c>
      <c r="H10" s="91"/>
      <c r="I10" s="91"/>
      <c r="J10" s="91"/>
      <c r="K10" s="91">
        <v>3</v>
      </c>
      <c r="L10" s="91">
        <v>3</v>
      </c>
      <c r="M10" s="91">
        <v>3</v>
      </c>
      <c r="N10" s="91">
        <v>3</v>
      </c>
      <c r="O10" s="91"/>
      <c r="P10" s="91"/>
      <c r="Q10" s="91"/>
      <c r="R10" s="91">
        <v>3</v>
      </c>
      <c r="S10" s="91">
        <v>3</v>
      </c>
      <c r="T10" s="91">
        <v>3</v>
      </c>
      <c r="U10" s="91">
        <v>3</v>
      </c>
      <c r="V10" s="91"/>
      <c r="W10" s="91"/>
      <c r="X10" s="91"/>
      <c r="Y10" s="91">
        <v>3</v>
      </c>
      <c r="Z10" s="91">
        <v>3</v>
      </c>
      <c r="AA10" s="91">
        <v>3</v>
      </c>
      <c r="AB10" s="91">
        <v>3</v>
      </c>
      <c r="AC10" s="91"/>
      <c r="AD10" s="91"/>
      <c r="AE10" s="101"/>
      <c r="AF10" s="100"/>
      <c r="AG10" s="43">
        <f t="shared" si="1"/>
        <v>48</v>
      </c>
    </row>
    <row r="11" spans="1:33" ht="20.25">
      <c r="A11" s="28">
        <v>328</v>
      </c>
      <c r="B11" s="92"/>
      <c r="C11" s="92"/>
      <c r="D11" s="92">
        <v>3</v>
      </c>
      <c r="E11" s="92">
        <v>3</v>
      </c>
      <c r="F11" s="92">
        <v>3</v>
      </c>
      <c r="G11" s="92">
        <v>3</v>
      </c>
      <c r="H11" s="92"/>
      <c r="I11" s="92"/>
      <c r="J11" s="92"/>
      <c r="K11" s="92">
        <v>2</v>
      </c>
      <c r="L11" s="92">
        <v>2</v>
      </c>
      <c r="M11" s="92">
        <v>2</v>
      </c>
      <c r="N11" s="92">
        <v>3</v>
      </c>
      <c r="O11" s="92"/>
      <c r="P11" s="92"/>
      <c r="Q11" s="92"/>
      <c r="R11" s="92">
        <v>3</v>
      </c>
      <c r="S11" s="92">
        <v>3</v>
      </c>
      <c r="T11" s="92">
        <v>3</v>
      </c>
      <c r="U11" s="92">
        <v>3</v>
      </c>
      <c r="V11" s="92"/>
      <c r="W11" s="92"/>
      <c r="X11" s="92"/>
      <c r="Y11" s="92">
        <v>3</v>
      </c>
      <c r="Z11" s="92">
        <v>3</v>
      </c>
      <c r="AA11" s="92">
        <v>3</v>
      </c>
      <c r="AB11" s="92">
        <v>3</v>
      </c>
      <c r="AC11" s="92"/>
      <c r="AD11" s="92"/>
      <c r="AE11" s="102"/>
      <c r="AF11" s="103"/>
      <c r="AG11" s="44">
        <f t="shared" si="1"/>
        <v>45</v>
      </c>
    </row>
    <row r="12" spans="1:33" ht="20.25">
      <c r="A12" s="29">
        <v>329</v>
      </c>
      <c r="B12" s="93"/>
      <c r="C12" s="93"/>
      <c r="D12" s="93">
        <v>3</v>
      </c>
      <c r="E12" s="93">
        <v>3</v>
      </c>
      <c r="F12" s="93">
        <v>3</v>
      </c>
      <c r="G12" s="93">
        <v>3</v>
      </c>
      <c r="H12" s="93"/>
      <c r="I12" s="93"/>
      <c r="J12" s="93"/>
      <c r="K12" s="93">
        <v>3</v>
      </c>
      <c r="L12" s="93">
        <v>3</v>
      </c>
      <c r="M12" s="93">
        <v>3</v>
      </c>
      <c r="N12" s="93">
        <v>3</v>
      </c>
      <c r="O12" s="93"/>
      <c r="P12" s="93"/>
      <c r="Q12" s="93"/>
      <c r="R12" s="93">
        <v>3</v>
      </c>
      <c r="S12" s="93">
        <v>3</v>
      </c>
      <c r="T12" s="93">
        <v>3</v>
      </c>
      <c r="U12" s="93">
        <v>3</v>
      </c>
      <c r="V12" s="93"/>
      <c r="W12" s="93"/>
      <c r="X12" s="93"/>
      <c r="Y12" s="93">
        <v>3</v>
      </c>
      <c r="Z12" s="93">
        <v>3</v>
      </c>
      <c r="AA12" s="93">
        <v>3</v>
      </c>
      <c r="AB12" s="93">
        <v>3</v>
      </c>
      <c r="AC12" s="93"/>
      <c r="AD12" s="93"/>
      <c r="AE12" s="97"/>
      <c r="AF12" s="106"/>
      <c r="AG12" s="35">
        <f t="shared" si="1"/>
        <v>48</v>
      </c>
    </row>
    <row r="13" spans="1:33" ht="20.25">
      <c r="A13" s="30">
        <v>330</v>
      </c>
      <c r="B13" s="89"/>
      <c r="C13" s="89"/>
      <c r="D13" s="89">
        <v>3</v>
      </c>
      <c r="E13" s="89">
        <v>3</v>
      </c>
      <c r="F13" s="89">
        <v>3</v>
      </c>
      <c r="G13" s="89">
        <v>3</v>
      </c>
      <c r="H13" s="89"/>
      <c r="I13" s="89"/>
      <c r="J13" s="89"/>
      <c r="K13" s="89">
        <v>3</v>
      </c>
      <c r="L13" s="89">
        <v>3</v>
      </c>
      <c r="M13" s="89">
        <v>3</v>
      </c>
      <c r="N13" s="89">
        <v>3</v>
      </c>
      <c r="O13" s="89"/>
      <c r="P13" s="89"/>
      <c r="Q13" s="89"/>
      <c r="R13" s="89">
        <v>3</v>
      </c>
      <c r="S13" s="89">
        <v>3</v>
      </c>
      <c r="T13" s="89">
        <v>3</v>
      </c>
      <c r="U13" s="89">
        <v>3</v>
      </c>
      <c r="V13" s="89"/>
      <c r="W13" s="89"/>
      <c r="X13" s="89"/>
      <c r="Y13" s="89">
        <v>3</v>
      </c>
      <c r="Z13" s="89">
        <v>3</v>
      </c>
      <c r="AA13" s="89">
        <v>3</v>
      </c>
      <c r="AB13" s="89">
        <v>3</v>
      </c>
      <c r="AC13" s="89"/>
      <c r="AD13" s="89"/>
      <c r="AE13" s="98"/>
      <c r="AF13" s="99"/>
      <c r="AG13" s="37">
        <f t="shared" si="1"/>
        <v>48</v>
      </c>
    </row>
    <row r="14" spans="1:33" ht="20.25">
      <c r="A14" s="38">
        <v>331</v>
      </c>
      <c r="B14" s="95"/>
      <c r="C14" s="95"/>
      <c r="D14" s="95">
        <v>3</v>
      </c>
      <c r="E14" s="95">
        <v>3</v>
      </c>
      <c r="F14" s="95">
        <v>3</v>
      </c>
      <c r="G14" s="95">
        <v>3</v>
      </c>
      <c r="H14" s="95"/>
      <c r="I14" s="95"/>
      <c r="J14" s="95"/>
      <c r="K14" s="95">
        <v>3</v>
      </c>
      <c r="L14" s="95">
        <v>3</v>
      </c>
      <c r="M14" s="95">
        <v>3</v>
      </c>
      <c r="N14" s="95">
        <v>3</v>
      </c>
      <c r="O14" s="95"/>
      <c r="P14" s="95"/>
      <c r="Q14" s="95"/>
      <c r="R14" s="95">
        <v>3</v>
      </c>
      <c r="S14" s="95">
        <v>3</v>
      </c>
      <c r="T14" s="95">
        <v>3</v>
      </c>
      <c r="U14" s="95">
        <v>3</v>
      </c>
      <c r="V14" s="95"/>
      <c r="W14" s="95"/>
      <c r="X14" s="95"/>
      <c r="Y14" s="95">
        <v>3</v>
      </c>
      <c r="Z14" s="95">
        <v>3</v>
      </c>
      <c r="AA14" s="95">
        <v>3</v>
      </c>
      <c r="AB14" s="95">
        <v>3</v>
      </c>
      <c r="AC14" s="95"/>
      <c r="AD14" s="95"/>
      <c r="AE14" s="105"/>
      <c r="AF14" s="90"/>
      <c r="AG14" s="40">
        <f t="shared" si="1"/>
        <v>48</v>
      </c>
    </row>
    <row r="15" spans="1:33" ht="20.25">
      <c r="A15" s="41">
        <v>332</v>
      </c>
      <c r="B15" s="91"/>
      <c r="C15" s="91"/>
      <c r="D15" s="91">
        <v>3</v>
      </c>
      <c r="E15" s="91">
        <v>3</v>
      </c>
      <c r="F15" s="91">
        <v>3</v>
      </c>
      <c r="G15" s="91">
        <v>3</v>
      </c>
      <c r="H15" s="91"/>
      <c r="I15" s="91"/>
      <c r="J15" s="91"/>
      <c r="K15" s="91">
        <v>3</v>
      </c>
      <c r="L15" s="91">
        <v>3</v>
      </c>
      <c r="M15" s="91">
        <v>3</v>
      </c>
      <c r="N15" s="91">
        <v>3</v>
      </c>
      <c r="O15" s="91"/>
      <c r="P15" s="91"/>
      <c r="Q15" s="91"/>
      <c r="R15" s="91">
        <v>3</v>
      </c>
      <c r="S15" s="91">
        <v>3</v>
      </c>
      <c r="T15" s="91">
        <v>3</v>
      </c>
      <c r="U15" s="91">
        <v>3</v>
      </c>
      <c r="V15" s="91"/>
      <c r="W15" s="91"/>
      <c r="X15" s="91"/>
      <c r="Y15" s="91">
        <v>3</v>
      </c>
      <c r="Z15" s="91">
        <v>3</v>
      </c>
      <c r="AA15" s="91">
        <v>3</v>
      </c>
      <c r="AB15" s="91">
        <v>3</v>
      </c>
      <c r="AC15" s="91"/>
      <c r="AD15" s="91"/>
      <c r="AE15" s="101"/>
      <c r="AF15" s="100"/>
      <c r="AG15" s="43">
        <f t="shared" si="1"/>
        <v>48</v>
      </c>
    </row>
    <row r="16" spans="1:33" ht="20.25">
      <c r="A16" s="28">
        <v>333</v>
      </c>
      <c r="B16" s="96"/>
      <c r="C16" s="96"/>
      <c r="D16" s="96">
        <v>3</v>
      </c>
      <c r="E16" s="96">
        <v>3</v>
      </c>
      <c r="F16" s="96">
        <v>3</v>
      </c>
      <c r="G16" s="96">
        <v>3</v>
      </c>
      <c r="H16" s="96"/>
      <c r="I16" s="96"/>
      <c r="J16" s="96"/>
      <c r="K16" s="96">
        <v>3</v>
      </c>
      <c r="L16" s="96">
        <v>2</v>
      </c>
      <c r="M16" s="96">
        <v>2</v>
      </c>
      <c r="N16" s="96">
        <v>3</v>
      </c>
      <c r="O16" s="96"/>
      <c r="P16" s="96"/>
      <c r="Q16" s="96"/>
      <c r="R16" s="96">
        <v>3</v>
      </c>
      <c r="S16" s="96">
        <v>3</v>
      </c>
      <c r="T16" s="96">
        <v>3</v>
      </c>
      <c r="U16" s="96">
        <v>3</v>
      </c>
      <c r="V16" s="96"/>
      <c r="W16" s="96"/>
      <c r="X16" s="96"/>
      <c r="Y16" s="96">
        <v>3</v>
      </c>
      <c r="Z16" s="96">
        <v>3</v>
      </c>
      <c r="AA16" s="96">
        <v>3</v>
      </c>
      <c r="AB16" s="96">
        <v>3</v>
      </c>
      <c r="AC16" s="96"/>
      <c r="AD16" s="96"/>
      <c r="AE16" s="107"/>
      <c r="AF16" s="103"/>
      <c r="AG16" s="46">
        <f t="shared" si="1"/>
        <v>46</v>
      </c>
    </row>
    <row r="17" spans="1:33" ht="20.25">
      <c r="A17" s="31">
        <v>334</v>
      </c>
      <c r="B17" s="93"/>
      <c r="C17" s="93"/>
      <c r="D17" s="93">
        <v>3</v>
      </c>
      <c r="E17" s="93">
        <v>3</v>
      </c>
      <c r="F17" s="93">
        <v>3</v>
      </c>
      <c r="G17" s="93">
        <v>3</v>
      </c>
      <c r="H17" s="93"/>
      <c r="I17" s="93"/>
      <c r="J17" s="97"/>
      <c r="K17" s="93">
        <v>3</v>
      </c>
      <c r="L17" s="93">
        <v>3</v>
      </c>
      <c r="M17" s="93">
        <v>3</v>
      </c>
      <c r="N17" s="93">
        <v>3</v>
      </c>
      <c r="O17" s="93"/>
      <c r="P17" s="93"/>
      <c r="Q17" s="97"/>
      <c r="R17" s="93">
        <v>3</v>
      </c>
      <c r="S17" s="93">
        <v>3</v>
      </c>
      <c r="T17" s="93">
        <v>3</v>
      </c>
      <c r="U17" s="93">
        <v>3</v>
      </c>
      <c r="V17" s="97"/>
      <c r="W17" s="93"/>
      <c r="X17" s="97"/>
      <c r="Y17" s="93">
        <v>3</v>
      </c>
      <c r="Z17" s="93">
        <v>3</v>
      </c>
      <c r="AA17" s="93">
        <v>3</v>
      </c>
      <c r="AB17" s="93">
        <v>3</v>
      </c>
      <c r="AC17" s="97"/>
      <c r="AD17" s="93"/>
      <c r="AE17" s="97"/>
      <c r="AF17" s="108"/>
      <c r="AG17" s="35">
        <f t="shared" si="1"/>
        <v>48</v>
      </c>
    </row>
  </sheetData>
  <mergeCells count="2">
    <mergeCell ref="D1:L1"/>
    <mergeCell ref="O1:W1"/>
  </mergeCells>
  <pageMargins left="0.25" right="0.25" top="0.75" bottom="0.75" header="0.51180555555555496" footer="0.51180555555555496"/>
  <pageSetup paperSize="0" scale="0" firstPageNumber="0" orientation="portrait" usePrinterDefaults="0" horizontalDpi="0" verticalDpi="0" copies="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14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INDYWIDUAL</vt:lpstr>
      <vt:lpstr>POKOJE</vt:lpstr>
      <vt:lpstr>ŁÓŻKO</vt:lpstr>
      <vt:lpstr>BIURKO</vt:lpstr>
      <vt:lpstr>SZAFA</vt:lpstr>
      <vt:lpstr>PÓŁKA</vt:lpstr>
      <vt:lpstr>PODŁOGA</vt:lpstr>
      <vt:lpstr>KOSZ</vt:lpstr>
      <vt:lpstr>PARAPET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user</dc:creator>
  <dc:description/>
  <cp:lastModifiedBy>Alan Borowy</cp:lastModifiedBy>
  <cp:revision>8</cp:revision>
  <cp:lastPrinted>2018-05-04T12:04:19Z</cp:lastPrinted>
  <dcterms:created xsi:type="dcterms:W3CDTF">2013-08-27T08:31:52Z</dcterms:created>
  <dcterms:modified xsi:type="dcterms:W3CDTF">2018-11-16T12:57:56Z</dcterms:modified>
  <dc:language>pl-PL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15.0300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